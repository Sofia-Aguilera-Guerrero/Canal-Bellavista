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"/>
    </mc:Choice>
  </mc:AlternateContent>
  <xr:revisionPtr revIDLastSave="0" documentId="13_ncr:1_{A8DCF206-EDA4-4C47-987D-414347073F9A}" xr6:coauthVersionLast="47" xr6:coauthVersionMax="47" xr10:uidLastSave="{00000000-0000-0000-0000-000000000000}"/>
  <bookViews>
    <workbookView xWindow="-110" yWindow="-110" windowWidth="19420" windowHeight="10300" xr2:uid="{1669C788-3341-41E7-A4C3-256C6644E9EE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8" i="1"/>
  <c r="C33" i="1"/>
  <c r="C31" i="1"/>
  <c r="C30" i="1"/>
  <c r="E30" i="1" s="1"/>
  <c r="C29" i="1"/>
  <c r="C28" i="1"/>
  <c r="E28" i="1" s="1"/>
  <c r="C25" i="1"/>
  <c r="C23" i="1"/>
  <c r="E23" i="1" s="1"/>
  <c r="C21" i="1"/>
  <c r="E21" i="1" s="1"/>
  <c r="C20" i="1"/>
  <c r="C19" i="1"/>
  <c r="C17" i="1"/>
  <c r="E17" i="1" s="1"/>
  <c r="C16" i="1"/>
  <c r="E16" i="1" s="1"/>
  <c r="C12" i="1"/>
  <c r="C11" i="1"/>
  <c r="E11" i="1" s="1"/>
  <c r="C10" i="1"/>
  <c r="C9" i="1"/>
  <c r="C8" i="1"/>
</calcChain>
</file>

<file path=xl/sharedStrings.xml><?xml version="1.0" encoding="utf-8"?>
<sst xmlns="http://schemas.openxmlformats.org/spreadsheetml/2006/main" count="37" uniqueCount="37">
  <si>
    <t>Cobranzas cuotas de agua Canal Bellavista</t>
  </si>
  <si>
    <t>Fecha</t>
  </si>
  <si>
    <t>Valor Cuota Vigente</t>
  </si>
  <si>
    <t>.</t>
  </si>
  <si>
    <t>Codigo</t>
  </si>
  <si>
    <t>Marcos</t>
  </si>
  <si>
    <t>Acciones</t>
  </si>
  <si>
    <t>Valor Cuota Mensual</t>
  </si>
  <si>
    <t>Deuda Total</t>
  </si>
  <si>
    <t>Cuotas Pendientes</t>
  </si>
  <si>
    <t>Estado</t>
  </si>
  <si>
    <t>Quilacan 1</t>
  </si>
  <si>
    <t>Vista Bella</t>
  </si>
  <si>
    <t>Monardez</t>
  </si>
  <si>
    <t>Bellavista</t>
  </si>
  <si>
    <t>Ceres</t>
  </si>
  <si>
    <t>Santa Isabel</t>
  </si>
  <si>
    <t>El Pino</t>
  </si>
  <si>
    <t>San Joaquin</t>
  </si>
  <si>
    <t>Santa Rosa</t>
  </si>
  <si>
    <t>El Milagro</t>
  </si>
  <si>
    <t>San Ramon</t>
  </si>
  <si>
    <t>Santa Ines</t>
  </si>
  <si>
    <t>Corazon de Maria</t>
  </si>
  <si>
    <t>Rio Blanco</t>
  </si>
  <si>
    <t xml:space="preserve">Santa Elena </t>
  </si>
  <si>
    <t>Santa Ana</t>
  </si>
  <si>
    <t>El Carmen A</t>
  </si>
  <si>
    <t xml:space="preserve">Vencedor del Carmen </t>
  </si>
  <si>
    <t>El Carmen C</t>
  </si>
  <si>
    <t>San Antonio</t>
  </si>
  <si>
    <t>Santa Filomena</t>
  </si>
  <si>
    <t>El Retiro</t>
  </si>
  <si>
    <t>Cerrillos</t>
  </si>
  <si>
    <t>Nueva Vida</t>
  </si>
  <si>
    <t>Quilacan 2</t>
  </si>
  <si>
    <t>Triunfo Campesino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</si>
</sst>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0" fillId="0" borderId="2" xfId="0" applyNumberFormat="1" applyBorder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2" fontId="6" fillId="0" borderId="3" xfId="0" applyNumberFormat="1" applyFont="1" applyBorder="1"/>
    <xf numFmtId="0" fontId="5" fillId="0" borderId="0" xfId="0" applyFont="1"/>
    <xf numFmtId="2" fontId="6" fillId="0" borderId="5" xfId="0" applyNumberFormat="1" applyFont="1" applyBorder="1"/>
    <xf numFmtId="2" fontId="1" fillId="0" borderId="0" xfId="0" applyNumberFormat="1" applyFont="1"/>
    <xf numFmtId="2" fontId="6" fillId="0" borderId="5" xfId="0" applyNumberFormat="1" applyFont="1" applyBorder="1" applyAlignment="1">
      <alignment wrapText="1"/>
    </xf>
    <xf numFmtId="2" fontId="6" fillId="0" borderId="6" xfId="0" applyNumberFormat="1" applyFont="1" applyBorder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b val="0"/>
        <i val="0"/>
      </font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ont>
        <b val="0"/>
        <strike val="0"/>
        <outline val="0"/>
        <shadow val="0"/>
        <vertAlign val="baseline"/>
        <sz val="1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4" formatCode="&quot;$&quot;#,##0"/>
      <fill>
        <patternFill patternType="none">
          <fgColor indexed="64"/>
          <bgColor indexed="65"/>
        </patternFill>
      </fill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4" formatCode="&quot;$&quot;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OneDrive\Escritorio\CANAL%20BELLAVISTA\COBRANZAS\A.%20CORRESPONDENCIA%20-%20COBRANZA\Plantilla%20de%20cobranza%20y%20deudas%20por%20marco.xlsx" TargetMode="External"/><Relationship Id="rId1" Type="http://schemas.openxmlformats.org/officeDocument/2006/relationships/externalLinkPath" Target="/Users/Usuario/OneDrive/Escritorio/CANAL%20BELLAVISTA/COBRANZAS/A.%20CORRESPONDENCIA%20-%20COBRANZA/Plantilla%20de%20cobranza%20y%20deudas%20por%20mar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do"/>
      <sheetName val="Cobranza"/>
      <sheetName val="DSistema"/>
      <sheetName val="Listado Correo"/>
      <sheetName val="Cobranza MES"/>
      <sheetName val="DXMarco"/>
      <sheetName val="Notas"/>
      <sheetName val="PLANTILLA COBRANZA"/>
    </sheetNames>
    <sheetDataSet>
      <sheetData sheetId="0">
        <row r="8">
          <cell r="E8">
            <v>12.86</v>
          </cell>
        </row>
        <row r="9">
          <cell r="E9">
            <v>125.13</v>
          </cell>
        </row>
        <row r="10">
          <cell r="E10">
            <v>71.06</v>
          </cell>
        </row>
        <row r="11">
          <cell r="E11">
            <v>71.06</v>
          </cell>
        </row>
        <row r="12">
          <cell r="E12">
            <v>177.65</v>
          </cell>
        </row>
        <row r="28">
          <cell r="E28">
            <v>105.41</v>
          </cell>
        </row>
        <row r="29">
          <cell r="E29">
            <v>98.61</v>
          </cell>
        </row>
        <row r="42">
          <cell r="E42">
            <v>467.98</v>
          </cell>
        </row>
        <row r="43">
          <cell r="E43">
            <v>119.19</v>
          </cell>
        </row>
        <row r="45">
          <cell r="E45">
            <v>39.21</v>
          </cell>
        </row>
        <row r="48">
          <cell r="E48">
            <v>230.26</v>
          </cell>
        </row>
        <row r="69">
          <cell r="E69">
            <v>92.98</v>
          </cell>
        </row>
        <row r="78">
          <cell r="E78">
            <v>100.82</v>
          </cell>
        </row>
        <row r="79">
          <cell r="E79">
            <v>365.78</v>
          </cell>
        </row>
        <row r="80">
          <cell r="E80">
            <v>179.16</v>
          </cell>
        </row>
        <row r="81">
          <cell r="E81">
            <v>167.48</v>
          </cell>
        </row>
        <row r="84">
          <cell r="E84">
            <v>172.55</v>
          </cell>
        </row>
      </sheetData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00540-3154-4853-B130-D3A0857B2D48}" name="Tabla23" displayName="Tabla23" ref="A7:G33" totalsRowShown="0" headerRowDxfId="17" dataDxfId="16" totalsRowDxfId="15">
  <autoFilter ref="A7:G33" xr:uid="{73F00540-3154-4853-B130-D3A0857B2D48}"/>
  <tableColumns count="7">
    <tableColumn id="1" xr3:uid="{460127B4-DB20-40F1-AAAC-80C4BCE9E73A}" name="Codigo" dataDxfId="14" totalsRowDxfId="13"/>
    <tableColumn id="2" xr3:uid="{BFDCC545-4F6A-4C34-8E61-6ECB9A67635C}" name="Marcos" dataDxfId="12" totalsRowDxfId="11"/>
    <tableColumn id="12" xr3:uid="{88E30742-F9D5-4985-AF9A-E8FBAE96BD1A}" name="Acciones" dataDxfId="10" totalsRowDxfId="9"/>
    <tableColumn id="7" xr3:uid="{CC07AAC4-DCED-417C-A534-4ED3FD8FD590}" name="Valor Cuota Mensual" dataDxfId="8" totalsRowDxfId="7"/>
    <tableColumn id="8" xr3:uid="{28C16382-BA3C-40E0-A502-5002DF02FF2D}" name="Deuda Total" dataDxfId="6" totalsRowDxfId="5"/>
    <tableColumn id="3" xr3:uid="{69AB6ECB-663E-40D2-AC6E-CB733778C95E}" name="Cuotas Pendientes" dataDxfId="4" totalsRowDxfId="3"/>
    <tableColumn id="4" xr3:uid="{F54BA2D4-D62C-46A7-A22A-DCD5F727D5CC}" name="Estado" dataDxfId="2">
      <calculatedColumnFormula>IF(Tabla23[[#This Row],[Cuotas Pendientes]]&gt;2,"Corte en trámite","Cuotas al día")</calculatedColumnFormula>
    </tableColumn>
  </tableColumns>
  <tableStyleInfo name="TableStyleLight6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1D3-5DA8-4221-B8E0-69913AC69F5B}">
  <dimension ref="A1:G35"/>
  <sheetViews>
    <sheetView tabSelected="1" topLeftCell="A18" zoomScale="80" zoomScaleNormal="80" workbookViewId="0">
      <selection activeCell="E34" sqref="E34"/>
    </sheetView>
  </sheetViews>
  <sheetFormatPr baseColWidth="10" defaultColWidth="9.1796875" defaultRowHeight="14.5" x14ac:dyDescent="0.35"/>
  <cols>
    <col min="1" max="1" width="11.453125" customWidth="1"/>
    <col min="2" max="2" width="20.7265625" customWidth="1"/>
    <col min="3" max="3" width="12.453125" style="8" customWidth="1"/>
    <col min="4" max="4" width="13.453125" style="8" customWidth="1"/>
    <col min="5" max="5" width="13.54296875" style="8" customWidth="1"/>
    <col min="6" max="6" width="11.453125" customWidth="1"/>
    <col min="7" max="7" width="18.26953125" customWidth="1"/>
    <col min="8" max="242" width="11.453125" customWidth="1"/>
  </cols>
  <sheetData>
    <row r="1" spans="1:7" x14ac:dyDescent="0.35">
      <c r="B1" s="1"/>
      <c r="C1" s="2"/>
      <c r="D1" s="2"/>
      <c r="E1" s="2"/>
    </row>
    <row r="2" spans="1:7" ht="23.5" x14ac:dyDescent="0.55000000000000004">
      <c r="A2" s="20" t="s">
        <v>0</v>
      </c>
      <c r="B2" s="20"/>
      <c r="C2" s="20"/>
      <c r="D2" s="20"/>
      <c r="E2" s="20"/>
    </row>
    <row r="3" spans="1:7" ht="21" x14ac:dyDescent="0.5">
      <c r="A3" s="3" t="s">
        <v>1</v>
      </c>
      <c r="B3" s="4"/>
      <c r="C3" s="5"/>
      <c r="D3" s="5"/>
      <c r="E3" s="5"/>
    </row>
    <row r="4" spans="1:7" ht="21.5" thickBot="1" x14ac:dyDescent="0.55000000000000004">
      <c r="A4" s="5"/>
      <c r="B4" s="5"/>
      <c r="C4" s="5"/>
      <c r="D4" s="5"/>
      <c r="E4" s="5"/>
    </row>
    <row r="5" spans="1:7" ht="15" thickBot="1" x14ac:dyDescent="0.4">
      <c r="A5" s="21" t="s">
        <v>2</v>
      </c>
      <c r="B5" s="22"/>
      <c r="C5" s="7">
        <v>5400</v>
      </c>
    </row>
    <row r="6" spans="1:7" ht="15" thickBot="1" x14ac:dyDescent="0.4">
      <c r="B6" s="1"/>
      <c r="C6" s="6" t="s">
        <v>3</v>
      </c>
      <c r="D6" s="1"/>
      <c r="E6" s="1"/>
    </row>
    <row r="7" spans="1:7" ht="29.5" thickBot="1" x14ac:dyDescent="0.4">
      <c r="A7" s="9" t="s">
        <v>4</v>
      </c>
      <c r="B7" s="9" t="s">
        <v>5</v>
      </c>
      <c r="C7" s="10" t="s">
        <v>6</v>
      </c>
      <c r="D7" s="10" t="s">
        <v>7</v>
      </c>
      <c r="E7" s="10" t="s">
        <v>8</v>
      </c>
      <c r="F7" s="11" t="s">
        <v>9</v>
      </c>
      <c r="G7" s="12" t="s">
        <v>10</v>
      </c>
    </row>
    <row r="8" spans="1:7" s="15" customFormat="1" ht="16" x14ac:dyDescent="0.4">
      <c r="A8" s="13">
        <v>1010401</v>
      </c>
      <c r="B8" s="1" t="s">
        <v>11</v>
      </c>
      <c r="C8" s="1">
        <f>[1]Listado!E8</f>
        <v>12.86</v>
      </c>
      <c r="D8" s="2">
        <v>5400</v>
      </c>
      <c r="E8" s="2">
        <v>69444</v>
      </c>
      <c r="F8" s="14">
        <v>4</v>
      </c>
      <c r="G8" s="1" t="str">
        <f>IF(Tabla23[[#This Row],[Cuotas Pendientes]]&gt;3,"Corte en trámite","Cuotas al día")</f>
        <v>Corte en trámite</v>
      </c>
    </row>
    <row r="9" spans="1:7" s="15" customFormat="1" ht="16" x14ac:dyDescent="0.4">
      <c r="A9" s="13">
        <v>1010402</v>
      </c>
      <c r="B9" s="1" t="s">
        <v>12</v>
      </c>
      <c r="C9" s="1">
        <f>[1]Listado!E9</f>
        <v>125.13</v>
      </c>
      <c r="D9" s="2">
        <v>5400</v>
      </c>
      <c r="E9" s="2"/>
      <c r="F9" s="16">
        <v>1</v>
      </c>
      <c r="G9" s="1" t="str">
        <f>IF(Tabla23[[#This Row],[Cuotas Pendientes]]&gt;2,"Corte en trámite","Cuotas al día")</f>
        <v>Cuotas al día</v>
      </c>
    </row>
    <row r="10" spans="1:7" s="15" customFormat="1" ht="16" x14ac:dyDescent="0.4">
      <c r="A10" s="13">
        <v>1010403</v>
      </c>
      <c r="B10" s="1" t="s">
        <v>13</v>
      </c>
      <c r="C10" s="1">
        <f>[1]Listado!E10</f>
        <v>71.06</v>
      </c>
      <c r="D10" s="2">
        <v>5400</v>
      </c>
      <c r="E10" s="2"/>
      <c r="F10" s="16">
        <v>2</v>
      </c>
      <c r="G10" s="1" t="str">
        <f>IF(Tabla23[[#This Row],[Cuotas Pendientes]]&gt;2,"Corte en trámite","Cuotas al día")</f>
        <v>Cuotas al día</v>
      </c>
    </row>
    <row r="11" spans="1:7" s="15" customFormat="1" ht="16" x14ac:dyDescent="0.4">
      <c r="A11" s="13">
        <v>1010404</v>
      </c>
      <c r="B11" s="1" t="s">
        <v>14</v>
      </c>
      <c r="C11" s="1">
        <f>[1]Listado!E11</f>
        <v>71.06</v>
      </c>
      <c r="D11" s="2">
        <v>5400</v>
      </c>
      <c r="E11" s="2">
        <f>Tabla23[[#This Row],[Acciones]]*Tabla23[[#This Row],[Valor Cuota Mensual]]</f>
        <v>383724</v>
      </c>
      <c r="F11" s="16">
        <v>3</v>
      </c>
      <c r="G11" s="1" t="str">
        <f>IF(Tabla23[[#This Row],[Cuotas Pendientes]]&gt;2,"Corte en trámite","Cuotas al día")</f>
        <v>Corte en trámite</v>
      </c>
    </row>
    <row r="12" spans="1:7" ht="16" x14ac:dyDescent="0.4">
      <c r="A12" s="13">
        <v>1010405</v>
      </c>
      <c r="B12" s="1" t="s">
        <v>15</v>
      </c>
      <c r="C12" s="1">
        <f>[1]Listado!E12</f>
        <v>177.65</v>
      </c>
      <c r="D12" s="2">
        <v>5400</v>
      </c>
      <c r="E12" s="2"/>
      <c r="F12" s="16">
        <v>1</v>
      </c>
      <c r="G12" s="1" t="str">
        <f>IF(Tabla23[[#This Row],[Cuotas Pendientes]]&gt;2,"Corte en trámite","Cuotas al día")</f>
        <v>Cuotas al día</v>
      </c>
    </row>
    <row r="13" spans="1:7" ht="16" x14ac:dyDescent="0.4">
      <c r="A13" s="13">
        <v>1010406</v>
      </c>
      <c r="B13" s="1" t="s">
        <v>16</v>
      </c>
      <c r="C13" s="17">
        <v>155.53</v>
      </c>
      <c r="D13" s="2">
        <v>5400</v>
      </c>
      <c r="E13" s="2"/>
      <c r="F13" s="16">
        <v>1</v>
      </c>
      <c r="G13" s="1" t="str">
        <f>IF(Tabla23[[#This Row],[Cuotas Pendientes]]&gt;2,"Corte en trámite","Cuotas al día")</f>
        <v>Cuotas al día</v>
      </c>
    </row>
    <row r="14" spans="1:7" ht="16" x14ac:dyDescent="0.4">
      <c r="A14" s="13">
        <v>1010407</v>
      </c>
      <c r="B14" s="1" t="s">
        <v>17</v>
      </c>
      <c r="C14" s="17">
        <v>96.8</v>
      </c>
      <c r="D14" s="2">
        <v>5400</v>
      </c>
      <c r="E14" s="2"/>
      <c r="F14" s="16">
        <v>2</v>
      </c>
      <c r="G14" s="1" t="str">
        <f>IF(Tabla23[[#This Row],[Cuotas Pendientes]]&gt;2,"Corte en trámite","Cuotas al día")</f>
        <v>Cuotas al día</v>
      </c>
    </row>
    <row r="15" spans="1:7" ht="16" x14ac:dyDescent="0.4">
      <c r="A15" s="13">
        <v>1010408</v>
      </c>
      <c r="B15" s="1" t="s">
        <v>18</v>
      </c>
      <c r="C15" s="1">
        <v>62.33</v>
      </c>
      <c r="D15" s="2">
        <v>5400</v>
      </c>
      <c r="E15" s="2"/>
      <c r="F15" s="16">
        <v>1</v>
      </c>
      <c r="G15" s="1" t="str">
        <f>IF(Tabla23[[#This Row],[Cuotas Pendientes]]&gt;2,"Corte en trámite","Cuotas al día")</f>
        <v>Cuotas al día</v>
      </c>
    </row>
    <row r="16" spans="1:7" ht="16" x14ac:dyDescent="0.4">
      <c r="A16" s="13">
        <v>1010409</v>
      </c>
      <c r="B16" s="1" t="s">
        <v>19</v>
      </c>
      <c r="C16" s="1">
        <f>[1]Listado!E28</f>
        <v>105.41</v>
      </c>
      <c r="D16" s="2">
        <v>5400</v>
      </c>
      <c r="E16" s="2">
        <f>Tabla23[[#This Row],[Acciones]]*Tabla23[[#This Row],[Valor Cuota Mensual]]</f>
        <v>569214</v>
      </c>
      <c r="F16" s="16">
        <v>3</v>
      </c>
      <c r="G16" s="1" t="str">
        <f>IF(Tabla23[[#This Row],[Cuotas Pendientes]]&gt;2,"Corte en trámite","Cuotas al día")</f>
        <v>Corte en trámite</v>
      </c>
    </row>
    <row r="17" spans="1:7" ht="16" x14ac:dyDescent="0.4">
      <c r="A17" s="13">
        <v>1010410</v>
      </c>
      <c r="B17" s="1" t="s">
        <v>20</v>
      </c>
      <c r="C17" s="1">
        <f>[1]Listado!E29</f>
        <v>98.61</v>
      </c>
      <c r="D17" s="2">
        <v>5400</v>
      </c>
      <c r="E17" s="2">
        <f>Tabla23[[#This Row],[Acciones]]*Tabla23[[#This Row],[Valor Cuota Mensual]]</f>
        <v>532494</v>
      </c>
      <c r="F17" s="16">
        <v>3</v>
      </c>
      <c r="G17" s="1" t="str">
        <f>IF(Tabla23[[#This Row],[Cuotas Pendientes]]&gt;2,"Corte en trámite","Cuotas al día")</f>
        <v>Corte en trámite</v>
      </c>
    </row>
    <row r="18" spans="1:7" ht="16" x14ac:dyDescent="0.4">
      <c r="A18" s="13">
        <v>1010411</v>
      </c>
      <c r="B18" s="1" t="s">
        <v>21</v>
      </c>
      <c r="C18" s="17">
        <v>95.81</v>
      </c>
      <c r="D18" s="2">
        <v>5400</v>
      </c>
      <c r="E18" s="2"/>
      <c r="F18" s="16">
        <v>0</v>
      </c>
      <c r="G18" s="1" t="str">
        <f>IF(Tabla23[[#This Row],[Cuotas Pendientes]]&gt;2,"Corte en trámite","Cuotas al día")</f>
        <v>Cuotas al día</v>
      </c>
    </row>
    <row r="19" spans="1:7" ht="16" x14ac:dyDescent="0.4">
      <c r="A19" s="13">
        <v>1010412</v>
      </c>
      <c r="B19" s="1" t="s">
        <v>22</v>
      </c>
      <c r="C19" s="1">
        <f>[1]Listado!E42</f>
        <v>467.98</v>
      </c>
      <c r="D19" s="2">
        <v>5400</v>
      </c>
      <c r="E19" s="2"/>
      <c r="F19" s="16">
        <v>0</v>
      </c>
      <c r="G19" s="1" t="str">
        <f>IF(Tabla23[[#This Row],[Cuotas Pendientes]]&gt;2,"Corte en trámite","Cuotas al día")</f>
        <v>Cuotas al día</v>
      </c>
    </row>
    <row r="20" spans="1:7" ht="16" x14ac:dyDescent="0.4">
      <c r="A20" s="13">
        <v>1010413</v>
      </c>
      <c r="B20" s="1" t="s">
        <v>23</v>
      </c>
      <c r="C20" s="1">
        <f>[1]Listado!E43</f>
        <v>119.19</v>
      </c>
      <c r="D20" s="2">
        <v>5400</v>
      </c>
      <c r="E20" s="2"/>
      <c r="F20" s="16">
        <v>0</v>
      </c>
      <c r="G20" s="1" t="str">
        <f>IF(Tabla23[[#This Row],[Cuotas Pendientes]]&gt;2,"Corte en trámite","Cuotas al día")</f>
        <v>Cuotas al día</v>
      </c>
    </row>
    <row r="21" spans="1:7" ht="16" x14ac:dyDescent="0.4">
      <c r="A21" s="13">
        <v>1010414</v>
      </c>
      <c r="B21" s="1" t="s">
        <v>24</v>
      </c>
      <c r="C21" s="1">
        <f>[1]Listado!E45</f>
        <v>39.21</v>
      </c>
      <c r="D21" s="2">
        <v>5400</v>
      </c>
      <c r="E21" s="2">
        <f>Tabla23[[#This Row],[Acciones]]*Tabla23[[#This Row],[Valor Cuota Mensual]]</f>
        <v>211734</v>
      </c>
      <c r="F21" s="16">
        <v>6</v>
      </c>
      <c r="G21" s="1" t="str">
        <f>IF(Tabla23[[#This Row],[Cuotas Pendientes]]&gt;2,"Corte en trámite","Cuotas al día")</f>
        <v>Corte en trámite</v>
      </c>
    </row>
    <row r="22" spans="1:7" ht="16" x14ac:dyDescent="0.4">
      <c r="A22" s="13">
        <v>1010415</v>
      </c>
      <c r="B22" s="13" t="s">
        <v>25</v>
      </c>
      <c r="C22" s="1">
        <v>74.33</v>
      </c>
      <c r="D22" s="2">
        <v>5400</v>
      </c>
      <c r="E22" s="2"/>
      <c r="F22" s="16">
        <v>0</v>
      </c>
      <c r="G22" s="1" t="str">
        <f>IF(Tabla23[[#This Row],[Cuotas Pendientes]]&gt;2,"Corte en trámite","Cuotas al día")</f>
        <v>Cuotas al día</v>
      </c>
    </row>
    <row r="23" spans="1:7" ht="16" x14ac:dyDescent="0.4">
      <c r="A23" s="13">
        <v>1010416</v>
      </c>
      <c r="B23" s="1" t="s">
        <v>26</v>
      </c>
      <c r="C23" s="1">
        <f>[1]Listado!E48</f>
        <v>230.26</v>
      </c>
      <c r="D23" s="2">
        <v>5400</v>
      </c>
      <c r="E23" s="2">
        <f>Tabla23[[#This Row],[Acciones]]*Tabla23[[#This Row],[Valor Cuota Mensual]]</f>
        <v>1243404</v>
      </c>
      <c r="F23" s="16">
        <v>3</v>
      </c>
      <c r="G23" s="1" t="str">
        <f>IF(Tabla23[[#This Row],[Cuotas Pendientes]]&gt;2,"Corte en trámite","Cuotas al día")</f>
        <v>Corte en trámite</v>
      </c>
    </row>
    <row r="24" spans="1:7" ht="16" x14ac:dyDescent="0.4">
      <c r="A24" s="13">
        <v>1010417</v>
      </c>
      <c r="B24" s="1" t="s">
        <v>27</v>
      </c>
      <c r="C24" s="17">
        <v>310.48</v>
      </c>
      <c r="D24" s="2">
        <v>5400</v>
      </c>
      <c r="E24" s="2"/>
      <c r="F24" s="16">
        <v>1</v>
      </c>
      <c r="G24" s="1" t="str">
        <f>IF(Tabla23[[#This Row],[Cuotas Pendientes]]&gt;2,"Corte en trámite","Cuotas al día")</f>
        <v>Cuotas al día</v>
      </c>
    </row>
    <row r="25" spans="1:7" ht="16" x14ac:dyDescent="0.4">
      <c r="A25" s="13">
        <v>1010418</v>
      </c>
      <c r="B25" s="1" t="s">
        <v>28</v>
      </c>
      <c r="C25" s="1">
        <f>[1]Listado!E69</f>
        <v>92.98</v>
      </c>
      <c r="D25" s="2">
        <v>5400</v>
      </c>
      <c r="E25" s="2"/>
      <c r="F25" s="16">
        <v>1</v>
      </c>
      <c r="G25" s="1" t="str">
        <f>IF(Tabla23[[#This Row],[Cuotas Pendientes]]&gt;2,"Corte en trámite","Cuotas al día")</f>
        <v>Cuotas al día</v>
      </c>
    </row>
    <row r="26" spans="1:7" ht="16" x14ac:dyDescent="0.4">
      <c r="A26" s="13">
        <v>1010419</v>
      </c>
      <c r="B26" s="1" t="s">
        <v>29</v>
      </c>
      <c r="C26" s="17">
        <v>82.4</v>
      </c>
      <c r="D26" s="2">
        <v>5400</v>
      </c>
      <c r="E26" s="2"/>
      <c r="F26" s="16">
        <v>0</v>
      </c>
      <c r="G26" s="1" t="str">
        <f>IF(Tabla23[[#This Row],[Cuotas Pendientes]]&gt;2,"Corte en trámite","Cuotas al día")</f>
        <v>Cuotas al día</v>
      </c>
    </row>
    <row r="27" spans="1:7" ht="16" x14ac:dyDescent="0.4">
      <c r="A27" s="13">
        <v>1010420</v>
      </c>
      <c r="B27" s="1" t="s">
        <v>30</v>
      </c>
      <c r="C27" s="17">
        <v>125.8</v>
      </c>
      <c r="D27" s="2">
        <v>5400</v>
      </c>
      <c r="E27" s="2"/>
      <c r="F27" s="16">
        <v>2</v>
      </c>
      <c r="G27" s="1" t="str">
        <f>IF(Tabla23[[#This Row],[Cuotas Pendientes]]&gt;2,"Corte en trámite","Cuotas al día")</f>
        <v>Cuotas al día</v>
      </c>
    </row>
    <row r="28" spans="1:7" ht="16" x14ac:dyDescent="0.4">
      <c r="A28" s="13">
        <v>1010421</v>
      </c>
      <c r="B28" s="1" t="s">
        <v>31</v>
      </c>
      <c r="C28" s="1">
        <f>[1]Listado!E78</f>
        <v>100.82</v>
      </c>
      <c r="D28" s="2">
        <v>5400</v>
      </c>
      <c r="E28" s="2">
        <f>Tabla23[[#This Row],[Acciones]]*Tabla23[[#This Row],[Valor Cuota Mensual]]</f>
        <v>544428</v>
      </c>
      <c r="F28" s="16">
        <v>3</v>
      </c>
      <c r="G28" s="1" t="str">
        <f>IF(Tabla23[[#This Row],[Cuotas Pendientes]]&gt;2,"Corte en trámite","Cuotas al día")</f>
        <v>Corte en trámite</v>
      </c>
    </row>
    <row r="29" spans="1:7" ht="16" x14ac:dyDescent="0.4">
      <c r="A29" s="13">
        <v>1010422</v>
      </c>
      <c r="B29" s="1" t="s">
        <v>32</v>
      </c>
      <c r="C29" s="1">
        <f>[1]Listado!E79</f>
        <v>365.78</v>
      </c>
      <c r="D29" s="2">
        <v>5400</v>
      </c>
      <c r="E29" s="2"/>
      <c r="F29" s="16">
        <v>2</v>
      </c>
      <c r="G29" s="1" t="str">
        <f>IF(Tabla23[[#This Row],[Cuotas Pendientes]]&gt;2,"Corte en trámite","Cuotas al día")</f>
        <v>Cuotas al día</v>
      </c>
    </row>
    <row r="30" spans="1:7" ht="16" x14ac:dyDescent="0.4">
      <c r="A30" s="13">
        <v>1010423</v>
      </c>
      <c r="B30" s="1" t="s">
        <v>33</v>
      </c>
      <c r="C30" s="1">
        <f>[1]Listado!E80</f>
        <v>179.16</v>
      </c>
      <c r="D30" s="2">
        <v>5400</v>
      </c>
      <c r="E30" s="2">
        <f>Tabla23[[#This Row],[Acciones]]*Tabla23[[#This Row],[Valor Cuota Mensual]]</f>
        <v>967464</v>
      </c>
      <c r="F30" s="16">
        <v>4</v>
      </c>
      <c r="G30" s="1" t="str">
        <f>IF(Tabla23[[#This Row],[Cuotas Pendientes]]&gt;2,"Corte en trámite","Cuotas al día")</f>
        <v>Corte en trámite</v>
      </c>
    </row>
    <row r="31" spans="1:7" ht="16" x14ac:dyDescent="0.4">
      <c r="A31" s="13">
        <v>1010424</v>
      </c>
      <c r="B31" s="1" t="s">
        <v>34</v>
      </c>
      <c r="C31" s="1">
        <f>[1]Listado!E81</f>
        <v>167.48</v>
      </c>
      <c r="D31" s="2">
        <v>5400</v>
      </c>
      <c r="E31" s="2"/>
      <c r="F31" s="16">
        <v>2</v>
      </c>
      <c r="G31" s="1" t="str">
        <f>IF(Tabla23[[#This Row],[Cuotas Pendientes]]&gt;2,"Corte en trámite","Cuotas al día")</f>
        <v>Cuotas al día</v>
      </c>
    </row>
    <row r="32" spans="1:7" s="13" customFormat="1" ht="16" x14ac:dyDescent="0.4">
      <c r="A32" s="13">
        <v>1010425</v>
      </c>
      <c r="B32" s="1" t="s">
        <v>35</v>
      </c>
      <c r="C32" s="17">
        <v>33.9</v>
      </c>
      <c r="D32" s="2">
        <v>5400</v>
      </c>
      <c r="E32" s="2"/>
      <c r="F32" s="18">
        <v>0</v>
      </c>
      <c r="G32" s="1" t="str">
        <f>IF(Tabla23[[#This Row],[Cuotas Pendientes]]&gt;2,"Corte en trámite","Cuotas al día")</f>
        <v>Cuotas al día</v>
      </c>
    </row>
    <row r="33" spans="1:7" s="15" customFormat="1" ht="16.5" thickBot="1" x14ac:dyDescent="0.45">
      <c r="A33" s="13">
        <v>1010426</v>
      </c>
      <c r="B33" s="13" t="s">
        <v>36</v>
      </c>
      <c r="C33" s="1">
        <f>[1]Listado!E84</f>
        <v>172.55</v>
      </c>
      <c r="D33" s="2">
        <v>5400</v>
      </c>
      <c r="E33" s="2"/>
      <c r="F33" s="19">
        <v>2</v>
      </c>
      <c r="G33" s="1" t="str">
        <f>IF(Tabla23[[#This Row],[Cuotas Pendientes]]&gt;2,"Corte en trámite","Cuotas al día")</f>
        <v>Cuotas al día</v>
      </c>
    </row>
    <row r="35" spans="1:7" x14ac:dyDescent="0.35">
      <c r="F35" s="8"/>
    </row>
  </sheetData>
  <mergeCells count="2">
    <mergeCell ref="A2:E2"/>
    <mergeCell ref="A5:B5"/>
  </mergeCells>
  <conditionalFormatting sqref="A8:G33">
    <cfRule type="expression" dxfId="1" priority="1" stopIfTrue="1">
      <formula>$G8="Cuotas al día"</formula>
    </cfRule>
    <cfRule type="expression" dxfId="0" priority="2" stopIfTrue="1">
      <formula>$G8="Corte en trámite"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Muñoz</dc:creator>
  <cp:lastModifiedBy>Sofia Aguilera Guerrero</cp:lastModifiedBy>
  <dcterms:created xsi:type="dcterms:W3CDTF">2025-09-08T12:50:20Z</dcterms:created>
  <dcterms:modified xsi:type="dcterms:W3CDTF">2025-10-21T09:15:35Z</dcterms:modified>
</cp:coreProperties>
</file>