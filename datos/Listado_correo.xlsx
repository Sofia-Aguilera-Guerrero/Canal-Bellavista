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atos\"/>
    </mc:Choice>
  </mc:AlternateContent>
  <xr:revisionPtr revIDLastSave="0" documentId="13_ncr:1_{23694C37-A1C1-4285-A3DA-E3218857A163}" xr6:coauthVersionLast="47" xr6:coauthVersionMax="47" xr10:uidLastSave="{00000000-0000-0000-0000-000000000000}"/>
  <bookViews>
    <workbookView xWindow="-110" yWindow="-110" windowWidth="19420" windowHeight="10300" xr2:uid="{3FFB1B05-4E6F-4813-A6DD-E156826C97E7}"/>
  </bookViews>
  <sheets>
    <sheet name="Hoja1" sheetId="1" r:id="rId1"/>
  </sheets>
  <externalReferences>
    <externalReference r:id="rId2"/>
  </externalReferences>
  <definedNames>
    <definedName name="_xlnm._FilterDatabase" localSheetId="0" hidden="1">Hoja1!$A$1:$N$78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78" i="1" l="1"/>
  <c r="N73" i="1"/>
  <c r="N61" i="1"/>
  <c r="N59" i="1"/>
  <c r="N58" i="1"/>
  <c r="N50" i="1"/>
  <c r="N48" i="1"/>
  <c r="N44" i="1"/>
  <c r="N40" i="1"/>
  <c r="G38" i="1"/>
  <c r="N32" i="1"/>
  <c r="N17" i="1"/>
  <c r="N5" i="1"/>
  <c r="G3" i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N6" i="1" l="1"/>
  <c r="N7" i="1"/>
  <c r="N8" i="1"/>
  <c r="N9" i="1"/>
  <c r="N45" i="1"/>
  <c r="N46" i="1"/>
  <c r="N47" i="1"/>
  <c r="N65" i="1"/>
  <c r="N69" i="1"/>
  <c r="N19" i="1"/>
  <c r="N20" i="1"/>
  <c r="N24" i="1"/>
  <c r="N28" i="1"/>
  <c r="N74" i="1"/>
  <c r="N75" i="1"/>
  <c r="N76" i="1"/>
  <c r="N77" i="1"/>
  <c r="N33" i="1"/>
  <c r="N35" i="1"/>
  <c r="N36" i="1"/>
  <c r="N41" i="1"/>
  <c r="N54" i="1"/>
  <c r="N10" i="1"/>
  <c r="N21" i="1"/>
  <c r="N23" i="1"/>
  <c r="N62" i="1"/>
  <c r="N64" i="1"/>
  <c r="N4" i="1"/>
  <c r="N14" i="1"/>
  <c r="N25" i="1"/>
  <c r="N26" i="1"/>
  <c r="N27" i="1"/>
  <c r="N39" i="1"/>
  <c r="N51" i="1"/>
  <c r="N53" i="1"/>
  <c r="N66" i="1"/>
  <c r="N67" i="1"/>
  <c r="N68" i="1"/>
  <c r="N29" i="1"/>
  <c r="N31" i="1"/>
  <c r="N43" i="1"/>
  <c r="N55" i="1"/>
  <c r="N56" i="1"/>
  <c r="N57" i="1"/>
  <c r="N70" i="1"/>
  <c r="N71" i="1"/>
  <c r="N72" i="1"/>
  <c r="N3" i="1"/>
  <c r="N63" i="1"/>
  <c r="N18" i="1"/>
  <c r="N34" i="1"/>
  <c r="N38" i="1"/>
  <c r="N13" i="1"/>
  <c r="N22" i="1"/>
  <c r="N42" i="1"/>
  <c r="N52" i="1"/>
  <c r="N30" i="1"/>
  <c r="N49" i="1"/>
  <c r="N60" i="1"/>
  <c r="N2" i="1"/>
</calcChain>
</file>

<file path=xl/sharedStrings.xml><?xml version="1.0" encoding="utf-8"?>
<sst xmlns="http://schemas.openxmlformats.org/spreadsheetml/2006/main" count="473" uniqueCount="289">
  <si>
    <t>N°</t>
  </si>
  <si>
    <t>Tratante</t>
  </si>
  <si>
    <t>Marcos</t>
  </si>
  <si>
    <t>Submarco</t>
  </si>
  <si>
    <t>Encargado</t>
  </si>
  <si>
    <t>Acciones</t>
  </si>
  <si>
    <t>Deuda Anterior</t>
  </si>
  <si>
    <t>Valor Cuota Mensual</t>
  </si>
  <si>
    <t>Deuda Total</t>
  </si>
  <si>
    <t>Cuotas Pendientes</t>
  </si>
  <si>
    <t>Correo</t>
  </si>
  <si>
    <t>Enviar</t>
  </si>
  <si>
    <t>Señor</t>
  </si>
  <si>
    <t>Quilacan 1</t>
  </si>
  <si>
    <t>Sin submarco</t>
  </si>
  <si>
    <t>Cristian Vega Alvarado</t>
  </si>
  <si>
    <t>cvega@lgpsa.com</t>
  </si>
  <si>
    <t>Vistabella</t>
  </si>
  <si>
    <t>Roberto Hernandez (Empresa Agricola HC)</t>
  </si>
  <si>
    <t>secretaria@agricolahc.cl</t>
  </si>
  <si>
    <t>Monardez</t>
  </si>
  <si>
    <t>Alejandro Meneses Saglieto</t>
  </si>
  <si>
    <t>agro.meneses@hotmail.com</t>
  </si>
  <si>
    <t>Bellavista</t>
  </si>
  <si>
    <t>Felix Olivares Pereira</t>
  </si>
  <si>
    <t>marcobellavistaa2@gmail.com</t>
  </si>
  <si>
    <t>Ceres</t>
  </si>
  <si>
    <t>Jorge Santelices Cortes</t>
  </si>
  <si>
    <t>jorge.santelices.cortes@gmail.com</t>
  </si>
  <si>
    <t>Señorita</t>
  </si>
  <si>
    <t>Santa Isabel</t>
  </si>
  <si>
    <t>Constructora Ecomac</t>
  </si>
  <si>
    <t>Rodrigo Diaz</t>
  </si>
  <si>
    <t>rdiazc@ecomac.cl</t>
  </si>
  <si>
    <t>Inversiones San Carlos</t>
  </si>
  <si>
    <t>Eugenio Caro</t>
  </si>
  <si>
    <t>ecaro@ecomacempresas.cl</t>
  </si>
  <si>
    <t>Gestion y Desarrollo</t>
  </si>
  <si>
    <t>Inmobiliaria Ecomac</t>
  </si>
  <si>
    <t>Rodrigo Diaz; Carla Lopez</t>
  </si>
  <si>
    <t>El Pino</t>
  </si>
  <si>
    <t>I. Municipalidad de La Serena</t>
  </si>
  <si>
    <t>Oscar Villalobos</t>
  </si>
  <si>
    <t>paola.godoy@laserena.cl</t>
  </si>
  <si>
    <t>NO ENVIAR</t>
  </si>
  <si>
    <t>Hector Arce</t>
  </si>
  <si>
    <t>Hector Arce T.</t>
  </si>
  <si>
    <t>sin correo</t>
  </si>
  <si>
    <t>Observatorio Las Campanas</t>
  </si>
  <si>
    <t>Jonathan Medalla</t>
  </si>
  <si>
    <t>jmedalla@carnegiescience.edu</t>
  </si>
  <si>
    <t>Constructora PY</t>
  </si>
  <si>
    <t xml:space="preserve">Rolando Alamos </t>
  </si>
  <si>
    <t>ralamos@py.cl</t>
  </si>
  <si>
    <t>Carlos Olivares</t>
  </si>
  <si>
    <t>sin contacto</t>
  </si>
  <si>
    <t>Isabel Margarita Amenabar Carmona</t>
  </si>
  <si>
    <t>CONVENIO EL PINO</t>
  </si>
  <si>
    <t>San Joaquin</t>
  </si>
  <si>
    <t>Mario Pinto Zepeda</t>
  </si>
  <si>
    <t>mariopinto2013@gmail.com</t>
  </si>
  <si>
    <t>Roberto Hernandez</t>
  </si>
  <si>
    <t>Inia Intihuasi</t>
  </si>
  <si>
    <t>Wilson Rojas</t>
  </si>
  <si>
    <t>wilson.rojas@inia.cl</t>
  </si>
  <si>
    <t>Parcelacion Chacra (IND, Cendyr)</t>
  </si>
  <si>
    <t>Alejandro Cordones Astudillo</t>
  </si>
  <si>
    <t>alejandro.cordones@ind.cl</t>
  </si>
  <si>
    <t>Santa Rosa</t>
  </si>
  <si>
    <t>Sergio Arancibia</t>
  </si>
  <si>
    <t>chechinsergio@gmail.com</t>
  </si>
  <si>
    <t>El Milagro</t>
  </si>
  <si>
    <t>Aldo Baldo Nardon</t>
  </si>
  <si>
    <t>aldobaldo348@gmail.com</t>
  </si>
  <si>
    <t>San Ramon</t>
  </si>
  <si>
    <t>Herman Cantuarias</t>
  </si>
  <si>
    <t>Herman Cantuaria</t>
  </si>
  <si>
    <t>hcantur59@gmail.com</t>
  </si>
  <si>
    <t>Francisco Sanchez</t>
  </si>
  <si>
    <t>Ana Maldonado</t>
  </si>
  <si>
    <t>hoteliberiachile@gmail.com</t>
  </si>
  <si>
    <t>Lomas de Bellavista</t>
  </si>
  <si>
    <t>Luis Villalobos</t>
  </si>
  <si>
    <t>lomasdebellavista.condominio@gmail.com</t>
  </si>
  <si>
    <t>Inmobiliaria La Serena</t>
  </si>
  <si>
    <t>Hermes Yañez</t>
  </si>
  <si>
    <t>hyanez@serena.cl</t>
  </si>
  <si>
    <t>Italo Modena</t>
  </si>
  <si>
    <t>Gigliola Modena</t>
  </si>
  <si>
    <t>gigliolamodena@gmail.com</t>
  </si>
  <si>
    <t>Severino Modena</t>
  </si>
  <si>
    <t>smodenac@gmail.com</t>
  </si>
  <si>
    <t>Victor Pedemonte</t>
  </si>
  <si>
    <t>cyeza@inversionespedemonte.cl</t>
  </si>
  <si>
    <t>Señora</t>
  </si>
  <si>
    <t>Carmen Callegari</t>
  </si>
  <si>
    <t>carmen@callegari.cl</t>
  </si>
  <si>
    <t>German Molenauer</t>
  </si>
  <si>
    <t>molenauer@gmail.com</t>
  </si>
  <si>
    <t>Daniela Arancibia</t>
  </si>
  <si>
    <t>Agricola Cachiyuyo</t>
  </si>
  <si>
    <t>Mario Baeza</t>
  </si>
  <si>
    <t>mpbc70@gmail.com</t>
  </si>
  <si>
    <t>Santa Ines</t>
  </si>
  <si>
    <t>Bruno Zandonai Dalbosco</t>
  </si>
  <si>
    <t>asociacionmarcosantaines@gmail.com</t>
  </si>
  <si>
    <t>Corazon de Maria</t>
  </si>
  <si>
    <t>Juan Araya Diaz</t>
  </si>
  <si>
    <t>Empresa Agricola HC SPA</t>
  </si>
  <si>
    <t>Rio Blanco</t>
  </si>
  <si>
    <t>Veronica Maltes</t>
  </si>
  <si>
    <t>veronica.maltes@rioblanco.net</t>
  </si>
  <si>
    <t xml:space="preserve">Santa Elena </t>
  </si>
  <si>
    <t>Santa Elena</t>
  </si>
  <si>
    <t xml:space="preserve">Pedro Daire </t>
  </si>
  <si>
    <t>mespinoza@empresasdaire.cl</t>
  </si>
  <si>
    <t>Santa Barbara</t>
  </si>
  <si>
    <t xml:space="preserve">Hector Marin </t>
  </si>
  <si>
    <t>martin04araya@gmail.com</t>
  </si>
  <si>
    <t>Santa Ana</t>
  </si>
  <si>
    <t>Mario Yañez Cortes</t>
  </si>
  <si>
    <t>marioyanez@hotmail.com</t>
  </si>
  <si>
    <t>El Carmen A</t>
  </si>
  <si>
    <t>Asentamiento Venus Parcela 65</t>
  </si>
  <si>
    <t>Nicasio Leyton</t>
  </si>
  <si>
    <t>nleytondistribuidor@hotmail.com</t>
  </si>
  <si>
    <t>Asentamiento Venus Parcela 75</t>
  </si>
  <si>
    <t>Hugo Aguilera</t>
  </si>
  <si>
    <t>hugoaguilera10@gmail.com</t>
  </si>
  <si>
    <t>Asentamiento Venus</t>
  </si>
  <si>
    <t>Inversiones y Asesorias Paulina</t>
  </si>
  <si>
    <t>isjensueno@gmail.com</t>
  </si>
  <si>
    <t>Sucesion Perez</t>
  </si>
  <si>
    <t>Fabiola Perez</t>
  </si>
  <si>
    <t>faby0025@gmail.com</t>
  </si>
  <si>
    <t>Señores</t>
  </si>
  <si>
    <t>Agricola Maria Eugenia</t>
  </si>
  <si>
    <t>produccion2@hortitec.cl</t>
  </si>
  <si>
    <t>Asentamiento Venus Parcela 79</t>
  </si>
  <si>
    <t>Violeta Ahumada</t>
  </si>
  <si>
    <t>Asentamiento Venus Parcela 87</t>
  </si>
  <si>
    <t>Ricardo Erler</t>
  </si>
  <si>
    <t>contacto@sandiegoperforaciones.cl</t>
  </si>
  <si>
    <t>Juan Carlos Peralta</t>
  </si>
  <si>
    <t>Asentamiento Venus Parcela 81</t>
  </si>
  <si>
    <t>Luis Cortes</t>
  </si>
  <si>
    <t>isabelalejandracortes@gmail.com</t>
  </si>
  <si>
    <t>Asentamiento Venus Parcela 84</t>
  </si>
  <si>
    <t>Asentamiento Venus Parcela 80</t>
  </si>
  <si>
    <t>Sin representante</t>
  </si>
  <si>
    <t>Hacienda Venus</t>
  </si>
  <si>
    <t>Alejandra Fajardo</t>
  </si>
  <si>
    <t>haciendavenus@gmail.com</t>
  </si>
  <si>
    <t>Santo Domingo</t>
  </si>
  <si>
    <t>Alberto Pomarolli</t>
  </si>
  <si>
    <t>jocelyn.pizarrov@live.cl</t>
  </si>
  <si>
    <t>Felicita Dallaserra</t>
  </si>
  <si>
    <t>felydallas@gmail.com</t>
  </si>
  <si>
    <t>Santa Amalia</t>
  </si>
  <si>
    <t>Hugo Tapia</t>
  </si>
  <si>
    <t>San Manuel</t>
  </si>
  <si>
    <t>Agricola Enebro SPA</t>
  </si>
  <si>
    <t>cristina.enebro@gmail.com</t>
  </si>
  <si>
    <t>Santa Beatriz</t>
  </si>
  <si>
    <t>Mario Alvarez</t>
  </si>
  <si>
    <t>galvarezbrunet@yahoo.com</t>
  </si>
  <si>
    <t>Acciones sin asignar</t>
  </si>
  <si>
    <t>juanca_75@live.cl</t>
  </si>
  <si>
    <t xml:space="preserve">Vencedor del Carmen </t>
  </si>
  <si>
    <t>Juan Antonio Malebran Santander</t>
  </si>
  <si>
    <t>antoniomalebran@gmail.com</t>
  </si>
  <si>
    <t>El Carmen C</t>
  </si>
  <si>
    <t>Estrella del Norte Chico</t>
  </si>
  <si>
    <t>Arturo Caro</t>
  </si>
  <si>
    <t>acchnosltda@gmail.com</t>
  </si>
  <si>
    <t>El Escorial</t>
  </si>
  <si>
    <t>Javier Plaza Muñoz</t>
  </si>
  <si>
    <t>erikaplazaaraya@gmail.com</t>
  </si>
  <si>
    <t>Agricola Victoria (El Escorial)</t>
  </si>
  <si>
    <t>Navra Baeza</t>
  </si>
  <si>
    <t>nbaeza@victoria.cl</t>
  </si>
  <si>
    <t>San Antonio</t>
  </si>
  <si>
    <t>Dos de Julio</t>
  </si>
  <si>
    <t>Fernando Villarroel Alegria</t>
  </si>
  <si>
    <t>fernandovillarroela@gmail.com</t>
  </si>
  <si>
    <t>Sucesion Mery</t>
  </si>
  <si>
    <t>Mario Alvarez Vega</t>
  </si>
  <si>
    <t>Angelo Olivieri</t>
  </si>
  <si>
    <t>Juan Carlos Olivieri</t>
  </si>
  <si>
    <t>juancarlos.olivieri24@gmail.com</t>
  </si>
  <si>
    <t>Santa Filomena</t>
  </si>
  <si>
    <t>Hernan Bonilla Virgilio</t>
  </si>
  <si>
    <t>reyg63ing7@gmail.com</t>
  </si>
  <si>
    <t>El Retiro</t>
  </si>
  <si>
    <t>Giorgio Bertolla</t>
  </si>
  <si>
    <t>vesparza@loscolonos.cl</t>
  </si>
  <si>
    <t>Cerrillos</t>
  </si>
  <si>
    <t>Nueva Vida</t>
  </si>
  <si>
    <t>Renato Bortolotti Nardon</t>
  </si>
  <si>
    <t>renatobortolottinardon@hotmail.com</t>
  </si>
  <si>
    <t>Quilacan 2</t>
  </si>
  <si>
    <t>Comunidad Bertolino</t>
  </si>
  <si>
    <t>Mario Bertolino</t>
  </si>
  <si>
    <t>mario@bertolino.cl</t>
  </si>
  <si>
    <t>El Mirador de Quilacan</t>
  </si>
  <si>
    <t>Pedro Velis</t>
  </si>
  <si>
    <t>pvelisa@hotmail.com</t>
  </si>
  <si>
    <t>Triunfo Campesino</t>
  </si>
  <si>
    <t>Juan Mercado</t>
  </si>
  <si>
    <t>mercado46@gmail.com</t>
  </si>
  <si>
    <t>01</t>
  </si>
  <si>
    <t>02</t>
  </si>
  <si>
    <t>03</t>
  </si>
  <si>
    <t>04</t>
  </si>
  <si>
    <t>05</t>
  </si>
  <si>
    <t>06-01</t>
  </si>
  <si>
    <t>06-02</t>
  </si>
  <si>
    <t>06-03</t>
  </si>
  <si>
    <t>06-04</t>
  </si>
  <si>
    <t>07-01</t>
  </si>
  <si>
    <t>07-02</t>
  </si>
  <si>
    <t>07-03</t>
  </si>
  <si>
    <t>07-04</t>
  </si>
  <si>
    <t>07-05</t>
  </si>
  <si>
    <t>07-06</t>
  </si>
  <si>
    <t>07-07</t>
  </si>
  <si>
    <t>08-01</t>
  </si>
  <si>
    <t>08-02</t>
  </si>
  <si>
    <t>08-03</t>
  </si>
  <si>
    <t>08-04</t>
  </si>
  <si>
    <t>09</t>
  </si>
  <si>
    <t>10</t>
  </si>
  <si>
    <t>11-01</t>
  </si>
  <si>
    <t>11-02</t>
  </si>
  <si>
    <t>11-03</t>
  </si>
  <si>
    <t>11-04</t>
  </si>
  <si>
    <t>11-05</t>
  </si>
  <si>
    <t>11-06</t>
  </si>
  <si>
    <t>11-07</t>
  </si>
  <si>
    <t>11-08</t>
  </si>
  <si>
    <t>11-10</t>
  </si>
  <si>
    <t>11-11</t>
  </si>
  <si>
    <t>11-12</t>
  </si>
  <si>
    <t>11-13</t>
  </si>
  <si>
    <t>12</t>
  </si>
  <si>
    <t>13</t>
  </si>
  <si>
    <t>14</t>
  </si>
  <si>
    <t>15-01</t>
  </si>
  <si>
    <t>15-02</t>
  </si>
  <si>
    <t>16</t>
  </si>
  <si>
    <t>17-01</t>
  </si>
  <si>
    <t>17-02</t>
  </si>
  <si>
    <t>17-03</t>
  </si>
  <si>
    <t>17-04</t>
  </si>
  <si>
    <t>17-05</t>
  </si>
  <si>
    <t>17-07</t>
  </si>
  <si>
    <t>17-08</t>
  </si>
  <si>
    <t>17-09</t>
  </si>
  <si>
    <t>17-10</t>
  </si>
  <si>
    <t>17-11</t>
  </si>
  <si>
    <t>17-12</t>
  </si>
  <si>
    <t>17-13</t>
  </si>
  <si>
    <t>17-14</t>
  </si>
  <si>
    <t>17-15</t>
  </si>
  <si>
    <t>17-16</t>
  </si>
  <si>
    <t>17-17</t>
  </si>
  <si>
    <t>17-18</t>
  </si>
  <si>
    <t>17-20</t>
  </si>
  <si>
    <t>18</t>
  </si>
  <si>
    <t>19-01</t>
  </si>
  <si>
    <t>19-02</t>
  </si>
  <si>
    <t>19-03</t>
  </si>
  <si>
    <t>19-04</t>
  </si>
  <si>
    <t>20-01</t>
  </si>
  <si>
    <t>20-02</t>
  </si>
  <si>
    <t>20-03</t>
  </si>
  <si>
    <t>20-04</t>
  </si>
  <si>
    <t>21</t>
  </si>
  <si>
    <t>22</t>
  </si>
  <si>
    <t>23</t>
  </si>
  <si>
    <t>24</t>
  </si>
  <si>
    <t>25-01</t>
  </si>
  <si>
    <t>25-02</t>
  </si>
  <si>
    <t>26</t>
  </si>
  <si>
    <t>ID</t>
  </si>
  <si>
    <t>otros</t>
  </si>
  <si>
    <t>17-06</t>
  </si>
  <si>
    <t>17-19</t>
  </si>
  <si>
    <t>13-01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</si>
</sst>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3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0">
    <xf numFmtId="0" fontId="0" fillId="0" borderId="0" xfId="0"/>
    <xf numFmtId="164" fontId="0" fillId="0" borderId="0" xfId="0" applyNumberFormat="1"/>
    <xf numFmtId="2" fontId="0" fillId="0" borderId="0" xfId="0" applyNumberFormat="1"/>
    <xf numFmtId="0" fontId="1" fillId="0" borderId="0" xfId="1"/>
    <xf numFmtId="0" fontId="0" fillId="2" borderId="0" xfId="0" applyFill="1"/>
    <xf numFmtId="0" fontId="1" fillId="2" borderId="0" xfId="1" applyFill="1"/>
    <xf numFmtId="0" fontId="0" fillId="3" borderId="0" xfId="0" applyFill="1"/>
    <xf numFmtId="0" fontId="1" fillId="3" borderId="0" xfId="1" applyFill="1"/>
    <xf numFmtId="49" fontId="2" fillId="0" borderId="0" xfId="0" applyNumberFormat="1" applyFont="1" applyAlignment="1" applyProtection="1">
      <alignment horizontal="right" wrapText="1"/>
      <protection locked="0"/>
    </xf>
    <xf numFmtId="49" fontId="2" fillId="0" borderId="0" xfId="0" applyNumberFormat="1" applyFont="1" applyAlignment="1" applyProtection="1">
      <alignment wrapText="1"/>
      <protection locked="0"/>
    </xf>
  </cellXfs>
  <cellStyles count="2">
    <cellStyle name="Hipervínculo" xfId="1" builtinId="8"/>
    <cellStyle name="Normal" xfId="0" builtinId="0"/>
  </cellStyles>
  <dxfs count="4">
    <dxf>
      <font>
        <b val="0"/>
        <i val="0"/>
      </font>
      <fill>
        <patternFill>
          <bgColor rgb="FFFF9999"/>
        </patternFill>
      </fill>
    </dxf>
    <dxf>
      <fill>
        <patternFill>
          <bgColor theme="9" tint="0.59996337778862885"/>
        </patternFill>
      </fill>
    </dxf>
    <dxf>
      <font>
        <b/>
        <i val="0"/>
      </font>
      <fill>
        <patternFill>
          <bgColor rgb="FFFBB39D"/>
        </patternFill>
      </fill>
    </dxf>
    <dxf>
      <font>
        <b val="0"/>
        <i val="0"/>
      </font>
      <fill>
        <patternFill>
          <bgColor rgb="FFF5FC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uario\OneDrive\Escritorio\CANAL%20BELLAVISTA\COBRANZAS\A.%20CORRESPONDENCIA%20-%20COBRANZA\Plantilla%20de%20cobranza%20y%20deudas%20por%20marco.xlsx" TargetMode="External"/><Relationship Id="rId1" Type="http://schemas.openxmlformats.org/officeDocument/2006/relationships/externalLinkPath" Target="/Users/Usuario/OneDrive/Escritorio/CANAL%20BELLAVISTA/COBRANZAS/A.%20CORRESPONDENCIA%20-%20COBRANZA/Plantilla%20de%20cobranza%20y%20deudas%20por%20marc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istado"/>
      <sheetName val="Cobranza"/>
      <sheetName val="DSistema"/>
      <sheetName val="Listado Correo"/>
      <sheetName val="Cobranza MES"/>
      <sheetName val="DXMarco"/>
      <sheetName val="Notas"/>
      <sheetName val="PLANTILLA COBRANZA"/>
    </sheetNames>
    <sheetDataSet>
      <sheetData sheetId="0">
        <row r="8">
          <cell r="E8">
            <v>12.86</v>
          </cell>
        </row>
        <row r="9">
          <cell r="E9">
            <v>125.13</v>
          </cell>
        </row>
        <row r="44">
          <cell r="E44">
            <v>43.44</v>
          </cell>
        </row>
      </sheetData>
      <sheetData sheetId="1" refreshError="1"/>
      <sheetData sheetId="2"/>
      <sheetData sheetId="3" refreshError="1"/>
      <sheetData sheetId="4" refreshError="1"/>
      <sheetData sheetId="5"/>
      <sheetData sheetId="6" refreshError="1"/>
      <sheetData sheetId="7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mespinoza@empresasdaire.cl" TargetMode="External"/><Relationship Id="rId21" Type="http://schemas.openxmlformats.org/officeDocument/2006/relationships/hyperlink" Target="mailto:rdiazc@ecomac.cl" TargetMode="External"/><Relationship Id="rId34" Type="http://schemas.openxmlformats.org/officeDocument/2006/relationships/hyperlink" Target="mailto:antoniomalebran@gmail.com" TargetMode="External"/><Relationship Id="rId42" Type="http://schemas.openxmlformats.org/officeDocument/2006/relationships/hyperlink" Target="mailto:renatobortolottinardon@hotmail.com" TargetMode="External"/><Relationship Id="rId47" Type="http://schemas.openxmlformats.org/officeDocument/2006/relationships/hyperlink" Target="mailto:cyeza@inversionespedemonte.cl" TargetMode="External"/><Relationship Id="rId50" Type="http://schemas.openxmlformats.org/officeDocument/2006/relationships/hyperlink" Target="mailto:nleytondistribuidor@hotmail.com" TargetMode="External"/><Relationship Id="rId55" Type="http://schemas.openxmlformats.org/officeDocument/2006/relationships/hyperlink" Target="mailto:cristina.enebro@gmail.com" TargetMode="External"/><Relationship Id="rId63" Type="http://schemas.openxmlformats.org/officeDocument/2006/relationships/hyperlink" Target="mailto:chechinsergio@gmail.com" TargetMode="External"/><Relationship Id="rId7" Type="http://schemas.openxmlformats.org/officeDocument/2006/relationships/hyperlink" Target="mailto:marcobellavistaa2@gmail.com" TargetMode="External"/><Relationship Id="rId2" Type="http://schemas.openxmlformats.org/officeDocument/2006/relationships/hyperlink" Target="mailto:reyg63ing7@gmail.com" TargetMode="External"/><Relationship Id="rId16" Type="http://schemas.openxmlformats.org/officeDocument/2006/relationships/hyperlink" Target="mailto:wilson.rojas@inia.cl" TargetMode="External"/><Relationship Id="rId29" Type="http://schemas.openxmlformats.org/officeDocument/2006/relationships/hyperlink" Target="mailto:isabelalejandracortes@gmail.com" TargetMode="External"/><Relationship Id="rId11" Type="http://schemas.openxmlformats.org/officeDocument/2006/relationships/hyperlink" Target="mailto:ecaro@ecomacempresas.cl" TargetMode="External"/><Relationship Id="rId24" Type="http://schemas.openxmlformats.org/officeDocument/2006/relationships/hyperlink" Target="mailto:molenauer@gmail.com" TargetMode="External"/><Relationship Id="rId32" Type="http://schemas.openxmlformats.org/officeDocument/2006/relationships/hyperlink" Target="mailto:felydallas@gmail.com" TargetMode="External"/><Relationship Id="rId37" Type="http://schemas.openxmlformats.org/officeDocument/2006/relationships/hyperlink" Target="mailto:fernandovillarroela@gmail.com" TargetMode="External"/><Relationship Id="rId40" Type="http://schemas.openxmlformats.org/officeDocument/2006/relationships/hyperlink" Target="mailto:vesparza@loscolonos.cl" TargetMode="External"/><Relationship Id="rId45" Type="http://schemas.openxmlformats.org/officeDocument/2006/relationships/hyperlink" Target="mailto:ralamos@py.cl" TargetMode="External"/><Relationship Id="rId53" Type="http://schemas.openxmlformats.org/officeDocument/2006/relationships/hyperlink" Target="mailto:acchnosltda@gmail.com" TargetMode="External"/><Relationship Id="rId58" Type="http://schemas.openxmlformats.org/officeDocument/2006/relationships/hyperlink" Target="mailto:mario@bertolino.cl" TargetMode="External"/><Relationship Id="rId66" Type="http://schemas.openxmlformats.org/officeDocument/2006/relationships/hyperlink" Target="mailto:mercado46@gmail.com" TargetMode="External"/><Relationship Id="rId5" Type="http://schemas.openxmlformats.org/officeDocument/2006/relationships/hyperlink" Target="mailto:hugoaguilera10@gmail.com" TargetMode="External"/><Relationship Id="rId61" Type="http://schemas.openxmlformats.org/officeDocument/2006/relationships/hyperlink" Target="mailto:produccion2@hortitec.cl" TargetMode="External"/><Relationship Id="rId19" Type="http://schemas.openxmlformats.org/officeDocument/2006/relationships/hyperlink" Target="mailto:hcantur59@gmail.com" TargetMode="External"/><Relationship Id="rId14" Type="http://schemas.openxmlformats.org/officeDocument/2006/relationships/hyperlink" Target="mailto:paola.godoy@laserena.cl" TargetMode="External"/><Relationship Id="rId22" Type="http://schemas.openxmlformats.org/officeDocument/2006/relationships/hyperlink" Target="mailto:smodenac@gmail.com" TargetMode="External"/><Relationship Id="rId27" Type="http://schemas.openxmlformats.org/officeDocument/2006/relationships/hyperlink" Target="mailto:marioyanez@hotmail.com" TargetMode="External"/><Relationship Id="rId30" Type="http://schemas.openxmlformats.org/officeDocument/2006/relationships/hyperlink" Target="mailto:isabelalejandracortes@gmail.com" TargetMode="External"/><Relationship Id="rId35" Type="http://schemas.openxmlformats.org/officeDocument/2006/relationships/hyperlink" Target="mailto:erikaplazaaraya@gmail.com" TargetMode="External"/><Relationship Id="rId43" Type="http://schemas.openxmlformats.org/officeDocument/2006/relationships/hyperlink" Target="mailto:pvelisa@hotmail.com" TargetMode="External"/><Relationship Id="rId48" Type="http://schemas.openxmlformats.org/officeDocument/2006/relationships/hyperlink" Target="mailto:mpbc70@gmail.com" TargetMode="External"/><Relationship Id="rId56" Type="http://schemas.openxmlformats.org/officeDocument/2006/relationships/hyperlink" Target="mailto:galvarezbrunet@yahoo.com" TargetMode="External"/><Relationship Id="rId64" Type="http://schemas.openxmlformats.org/officeDocument/2006/relationships/hyperlink" Target="mailto:secretaria@agricolahc.cl" TargetMode="External"/><Relationship Id="rId8" Type="http://schemas.openxmlformats.org/officeDocument/2006/relationships/hyperlink" Target="mailto:jorge.santelices.cortes@gmail.com" TargetMode="External"/><Relationship Id="rId51" Type="http://schemas.openxmlformats.org/officeDocument/2006/relationships/hyperlink" Target="mailto:isjensueno@gmail.com" TargetMode="External"/><Relationship Id="rId3" Type="http://schemas.openxmlformats.org/officeDocument/2006/relationships/hyperlink" Target="mailto:acchnosltda@gmail.com" TargetMode="External"/><Relationship Id="rId12" Type="http://schemas.openxmlformats.org/officeDocument/2006/relationships/hyperlink" Target="mailto:rdiazc@ecomac.cl" TargetMode="External"/><Relationship Id="rId17" Type="http://schemas.openxmlformats.org/officeDocument/2006/relationships/hyperlink" Target="mailto:alejandro.cordones@ind.cl" TargetMode="External"/><Relationship Id="rId25" Type="http://schemas.openxmlformats.org/officeDocument/2006/relationships/hyperlink" Target="mailto:veronica.maltes@rioblanco.net" TargetMode="External"/><Relationship Id="rId33" Type="http://schemas.openxmlformats.org/officeDocument/2006/relationships/hyperlink" Target="mailto:juanca_75@live.cl" TargetMode="External"/><Relationship Id="rId38" Type="http://schemas.openxmlformats.org/officeDocument/2006/relationships/hyperlink" Target="mailto:fernandovillarroela@gmail.com" TargetMode="External"/><Relationship Id="rId46" Type="http://schemas.openxmlformats.org/officeDocument/2006/relationships/hyperlink" Target="mailto:hyanez@serena.cl" TargetMode="External"/><Relationship Id="rId59" Type="http://schemas.openxmlformats.org/officeDocument/2006/relationships/hyperlink" Target="mailto:cvega@lgpsa.com" TargetMode="External"/><Relationship Id="rId20" Type="http://schemas.openxmlformats.org/officeDocument/2006/relationships/hyperlink" Target="mailto:hoteliberiachile@gmail.com" TargetMode="External"/><Relationship Id="rId41" Type="http://schemas.openxmlformats.org/officeDocument/2006/relationships/hyperlink" Target="mailto:vesparza@loscolonos.cl" TargetMode="External"/><Relationship Id="rId54" Type="http://schemas.openxmlformats.org/officeDocument/2006/relationships/hyperlink" Target="mailto:cristina.enebro@gmail.com" TargetMode="External"/><Relationship Id="rId62" Type="http://schemas.openxmlformats.org/officeDocument/2006/relationships/hyperlink" Target="mailto:asociacionmarcosantaines@gmail.com" TargetMode="External"/><Relationship Id="rId1" Type="http://schemas.openxmlformats.org/officeDocument/2006/relationships/hyperlink" Target="mailto:contacto@sandiegoperforaciones.cl" TargetMode="External"/><Relationship Id="rId6" Type="http://schemas.openxmlformats.org/officeDocument/2006/relationships/hyperlink" Target="mailto:secretaria@agricolahc.cl" TargetMode="External"/><Relationship Id="rId15" Type="http://schemas.openxmlformats.org/officeDocument/2006/relationships/hyperlink" Target="mailto:secretaria@agricolahc.cl" TargetMode="External"/><Relationship Id="rId23" Type="http://schemas.openxmlformats.org/officeDocument/2006/relationships/hyperlink" Target="mailto:carmen@callegari.cl" TargetMode="External"/><Relationship Id="rId28" Type="http://schemas.openxmlformats.org/officeDocument/2006/relationships/hyperlink" Target="mailto:faby0025@gmail.com" TargetMode="External"/><Relationship Id="rId36" Type="http://schemas.openxmlformats.org/officeDocument/2006/relationships/hyperlink" Target="mailto:nbaeza@victoria.cl" TargetMode="External"/><Relationship Id="rId49" Type="http://schemas.openxmlformats.org/officeDocument/2006/relationships/hyperlink" Target="mailto:martin04araya@gmail.com" TargetMode="External"/><Relationship Id="rId57" Type="http://schemas.openxmlformats.org/officeDocument/2006/relationships/hyperlink" Target="mailto:juancarlos.olivieri24@gmail.com" TargetMode="External"/><Relationship Id="rId10" Type="http://schemas.openxmlformats.org/officeDocument/2006/relationships/hyperlink" Target="mailto:ecaro@ecomacempresas.cl" TargetMode="External"/><Relationship Id="rId31" Type="http://schemas.openxmlformats.org/officeDocument/2006/relationships/hyperlink" Target="mailto:jocelyn.pizarrov@live.cl" TargetMode="External"/><Relationship Id="rId44" Type="http://schemas.openxmlformats.org/officeDocument/2006/relationships/hyperlink" Target="mailto:jmedalla@carnegiescience.edu" TargetMode="External"/><Relationship Id="rId52" Type="http://schemas.openxmlformats.org/officeDocument/2006/relationships/hyperlink" Target="mailto:haciendavenus@gmail.com" TargetMode="External"/><Relationship Id="rId60" Type="http://schemas.openxmlformats.org/officeDocument/2006/relationships/hyperlink" Target="mailto:agro.meneses@hotmail.com" TargetMode="External"/><Relationship Id="rId65" Type="http://schemas.openxmlformats.org/officeDocument/2006/relationships/hyperlink" Target="mailto:gigliolamodena@gmail.com" TargetMode="External"/><Relationship Id="rId4" Type="http://schemas.openxmlformats.org/officeDocument/2006/relationships/hyperlink" Target="mailto:lomasdebellavista.condominio@gmail.com" TargetMode="External"/><Relationship Id="rId9" Type="http://schemas.openxmlformats.org/officeDocument/2006/relationships/hyperlink" Target="mailto:rdiazc@ecomac.cl" TargetMode="External"/><Relationship Id="rId13" Type="http://schemas.openxmlformats.org/officeDocument/2006/relationships/hyperlink" Target="mailto:mariopinto2013@gmail.com" TargetMode="External"/><Relationship Id="rId18" Type="http://schemas.openxmlformats.org/officeDocument/2006/relationships/hyperlink" Target="mailto:aldobaldo348@gmail.com" TargetMode="External"/><Relationship Id="rId39" Type="http://schemas.openxmlformats.org/officeDocument/2006/relationships/hyperlink" Target="mailto:fernandovillarroel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461787-7FE5-49E7-8898-5C1A50DE6AFB}">
  <dimension ref="A1:N78"/>
  <sheetViews>
    <sheetView tabSelected="1" topLeftCell="A50" zoomScale="70" zoomScaleNormal="70" workbookViewId="0">
      <selection activeCell="H69" sqref="H69"/>
    </sheetView>
  </sheetViews>
  <sheetFormatPr baseColWidth="10" defaultRowHeight="14.5" x14ac:dyDescent="0.35"/>
  <cols>
    <col min="1" max="1" width="4.81640625" customWidth="1"/>
    <col min="4" max="4" width="19.54296875" customWidth="1"/>
    <col min="5" max="5" width="30.453125" customWidth="1"/>
    <col min="6" max="6" width="36" customWidth="1"/>
    <col min="8" max="8" width="10.90625" customWidth="1"/>
    <col min="9" max="9" width="26.1796875" style="1" customWidth="1"/>
    <col min="10" max="11" width="10.90625" style="1" customWidth="1"/>
    <col min="12" max="12" width="19.08984375" style="1" customWidth="1"/>
    <col min="13" max="13" width="34.1796875" customWidth="1"/>
  </cols>
  <sheetData>
    <row r="1" spans="1:14" x14ac:dyDescent="0.35">
      <c r="A1" t="s">
        <v>0</v>
      </c>
      <c r="B1" t="s">
        <v>1</v>
      </c>
      <c r="C1" t="s">
        <v>284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s="1" t="s">
        <v>7</v>
      </c>
      <c r="J1" s="1" t="s">
        <v>8</v>
      </c>
      <c r="K1" s="1" t="s">
        <v>9</v>
      </c>
      <c r="L1" s="1" t="s">
        <v>285</v>
      </c>
      <c r="M1" t="s">
        <v>10</v>
      </c>
      <c r="N1" s="1" t="s">
        <v>11</v>
      </c>
    </row>
    <row r="2" spans="1:14" x14ac:dyDescent="0.35">
      <c r="A2">
        <v>1</v>
      </c>
      <c r="B2" t="s">
        <v>12</v>
      </c>
      <c r="C2" s="8" t="s">
        <v>210</v>
      </c>
      <c r="D2" t="s">
        <v>13</v>
      </c>
      <c r="E2" t="s">
        <v>14</v>
      </c>
      <c r="F2" t="s">
        <v>15</v>
      </c>
      <c r="G2">
        <v>12.86</v>
      </c>
      <c r="H2" s="1"/>
      <c r="K2">
        <v>4</v>
      </c>
      <c r="L2" s="2"/>
      <c r="M2" s="3" t="s">
        <v>16</v>
      </c>
      <c r="N2" t="str">
        <f>IF(K2&gt;0,"ENVIAR","NO ENVIAR")</f>
        <v>ENVIAR</v>
      </c>
    </row>
    <row r="3" spans="1:14" x14ac:dyDescent="0.35">
      <c r="A3">
        <f>+A2+1</f>
        <v>2</v>
      </c>
      <c r="B3" t="s">
        <v>12</v>
      </c>
      <c r="C3" s="8" t="s">
        <v>211</v>
      </c>
      <c r="D3" t="s">
        <v>17</v>
      </c>
      <c r="E3" t="s">
        <v>14</v>
      </c>
      <c r="F3" t="s">
        <v>18</v>
      </c>
      <c r="G3">
        <f>[1]Listado!E9</f>
        <v>125.13</v>
      </c>
      <c r="H3" s="1"/>
      <c r="K3">
        <v>1</v>
      </c>
      <c r="L3" s="2"/>
      <c r="M3" s="3" t="s">
        <v>19</v>
      </c>
      <c r="N3" t="str">
        <f t="shared" ref="N3:N66" si="0">IF(K3&gt;0,"ENVIAR","NO ENVIAR")</f>
        <v>ENVIAR</v>
      </c>
    </row>
    <row r="4" spans="1:14" x14ac:dyDescent="0.35">
      <c r="A4">
        <f t="shared" ref="A4:A67" si="1">+A3+1</f>
        <v>3</v>
      </c>
      <c r="B4" t="s">
        <v>12</v>
      </c>
      <c r="C4" s="8" t="s">
        <v>212</v>
      </c>
      <c r="D4" t="s">
        <v>20</v>
      </c>
      <c r="E4" t="s">
        <v>14</v>
      </c>
      <c r="F4" t="s">
        <v>21</v>
      </c>
      <c r="G4">
        <v>71.06</v>
      </c>
      <c r="H4" s="1"/>
      <c r="K4">
        <v>2</v>
      </c>
      <c r="L4" s="2"/>
      <c r="M4" s="3" t="s">
        <v>22</v>
      </c>
      <c r="N4" t="str">
        <f t="shared" si="0"/>
        <v>ENVIAR</v>
      </c>
    </row>
    <row r="5" spans="1:14" x14ac:dyDescent="0.35">
      <c r="A5">
        <f t="shared" si="1"/>
        <v>4</v>
      </c>
      <c r="B5" t="s">
        <v>12</v>
      </c>
      <c r="C5" s="8" t="s">
        <v>213</v>
      </c>
      <c r="D5" t="s">
        <v>23</v>
      </c>
      <c r="E5" t="s">
        <v>14</v>
      </c>
      <c r="F5" t="s">
        <v>24</v>
      </c>
      <c r="G5">
        <v>71.06</v>
      </c>
      <c r="H5" s="1"/>
      <c r="K5">
        <v>3</v>
      </c>
      <c r="L5" s="2"/>
      <c r="M5" s="3" t="s">
        <v>25</v>
      </c>
      <c r="N5" t="str">
        <f t="shared" si="0"/>
        <v>ENVIAR</v>
      </c>
    </row>
    <row r="6" spans="1:14" x14ac:dyDescent="0.35">
      <c r="A6">
        <f t="shared" si="1"/>
        <v>5</v>
      </c>
      <c r="B6" t="s">
        <v>12</v>
      </c>
      <c r="C6" s="8" t="s">
        <v>214</v>
      </c>
      <c r="D6" t="s">
        <v>26</v>
      </c>
      <c r="E6" t="s">
        <v>14</v>
      </c>
      <c r="F6" t="s">
        <v>27</v>
      </c>
      <c r="G6">
        <v>177.65</v>
      </c>
      <c r="H6" s="1"/>
      <c r="K6">
        <v>1</v>
      </c>
      <c r="L6" s="2"/>
      <c r="M6" s="3" t="s">
        <v>28</v>
      </c>
      <c r="N6" t="str">
        <f t="shared" si="0"/>
        <v>ENVIAR</v>
      </c>
    </row>
    <row r="7" spans="1:14" x14ac:dyDescent="0.35">
      <c r="A7">
        <f t="shared" si="1"/>
        <v>6</v>
      </c>
      <c r="B7" t="s">
        <v>29</v>
      </c>
      <c r="C7" s="8" t="s">
        <v>215</v>
      </c>
      <c r="D7" t="s">
        <v>30</v>
      </c>
      <c r="E7" t="s">
        <v>31</v>
      </c>
      <c r="F7" t="s">
        <v>32</v>
      </c>
      <c r="G7">
        <v>1.1692</v>
      </c>
      <c r="H7" s="1"/>
      <c r="K7">
        <v>1</v>
      </c>
      <c r="L7" s="2"/>
      <c r="M7" s="3" t="s">
        <v>33</v>
      </c>
      <c r="N7" t="str">
        <f t="shared" si="0"/>
        <v>ENVIAR</v>
      </c>
    </row>
    <row r="8" spans="1:14" x14ac:dyDescent="0.35">
      <c r="A8">
        <f t="shared" si="1"/>
        <v>7</v>
      </c>
      <c r="B8" t="s">
        <v>12</v>
      </c>
      <c r="C8" s="8" t="s">
        <v>216</v>
      </c>
      <c r="D8" t="s">
        <v>30</v>
      </c>
      <c r="E8" t="s">
        <v>34</v>
      </c>
      <c r="F8" t="s">
        <v>35</v>
      </c>
      <c r="G8">
        <v>76.098600000000005</v>
      </c>
      <c r="H8" s="1"/>
      <c r="K8">
        <v>2</v>
      </c>
      <c r="L8" s="2"/>
      <c r="M8" s="3" t="s">
        <v>36</v>
      </c>
      <c r="N8" t="str">
        <f t="shared" si="0"/>
        <v>ENVIAR</v>
      </c>
    </row>
    <row r="9" spans="1:14" x14ac:dyDescent="0.35">
      <c r="A9">
        <f t="shared" si="1"/>
        <v>8</v>
      </c>
      <c r="B9" t="s">
        <v>12</v>
      </c>
      <c r="C9" s="8" t="s">
        <v>217</v>
      </c>
      <c r="D9" t="s">
        <v>30</v>
      </c>
      <c r="E9" t="s">
        <v>37</v>
      </c>
      <c r="F9" t="s">
        <v>35</v>
      </c>
      <c r="G9">
        <v>34.693600000000004</v>
      </c>
      <c r="H9" s="1"/>
      <c r="K9">
        <v>0</v>
      </c>
      <c r="L9" s="2"/>
      <c r="M9" s="3" t="s">
        <v>36</v>
      </c>
      <c r="N9" t="str">
        <f t="shared" si="0"/>
        <v>NO ENVIAR</v>
      </c>
    </row>
    <row r="10" spans="1:14" x14ac:dyDescent="0.35">
      <c r="A10">
        <f t="shared" si="1"/>
        <v>9</v>
      </c>
      <c r="B10" t="s">
        <v>29</v>
      </c>
      <c r="C10" s="8" t="s">
        <v>218</v>
      </c>
      <c r="D10" t="s">
        <v>30</v>
      </c>
      <c r="E10" t="s">
        <v>38</v>
      </c>
      <c r="F10" t="s">
        <v>39</v>
      </c>
      <c r="G10">
        <v>38.268599999999999</v>
      </c>
      <c r="H10" s="1"/>
      <c r="K10">
        <v>0</v>
      </c>
      <c r="L10" s="2"/>
      <c r="M10" s="3" t="s">
        <v>33</v>
      </c>
      <c r="N10" t="str">
        <f t="shared" si="0"/>
        <v>NO ENVIAR</v>
      </c>
    </row>
    <row r="11" spans="1:14" x14ac:dyDescent="0.35">
      <c r="A11">
        <f t="shared" si="1"/>
        <v>10</v>
      </c>
      <c r="B11" t="s">
        <v>12</v>
      </c>
      <c r="C11" s="8" t="s">
        <v>219</v>
      </c>
      <c r="D11" t="s">
        <v>40</v>
      </c>
      <c r="E11" t="s">
        <v>41</v>
      </c>
      <c r="F11" t="s">
        <v>42</v>
      </c>
      <c r="G11">
        <v>75</v>
      </c>
      <c r="H11" s="1"/>
      <c r="K11">
        <v>0</v>
      </c>
      <c r="L11" s="2"/>
      <c r="M11" s="3" t="s">
        <v>43</v>
      </c>
      <c r="N11" t="s">
        <v>44</v>
      </c>
    </row>
    <row r="12" spans="1:14" x14ac:dyDescent="0.35">
      <c r="A12">
        <f t="shared" si="1"/>
        <v>11</v>
      </c>
      <c r="B12" t="s">
        <v>12</v>
      </c>
      <c r="C12" s="8" t="s">
        <v>220</v>
      </c>
      <c r="D12" t="s">
        <v>40</v>
      </c>
      <c r="E12" t="s">
        <v>45</v>
      </c>
      <c r="F12" t="s">
        <v>46</v>
      </c>
      <c r="G12">
        <v>3.63</v>
      </c>
      <c r="H12" s="1"/>
      <c r="K12">
        <v>0</v>
      </c>
      <c r="L12" s="2"/>
      <c r="M12" t="s">
        <v>47</v>
      </c>
      <c r="N12" t="s">
        <v>44</v>
      </c>
    </row>
    <row r="13" spans="1:14" x14ac:dyDescent="0.35">
      <c r="A13">
        <f t="shared" si="1"/>
        <v>12</v>
      </c>
      <c r="B13" t="s">
        <v>12</v>
      </c>
      <c r="C13" s="8" t="s">
        <v>221</v>
      </c>
      <c r="D13" t="s">
        <v>40</v>
      </c>
      <c r="E13" t="s">
        <v>48</v>
      </c>
      <c r="F13" t="s">
        <v>49</v>
      </c>
      <c r="G13">
        <v>3.63</v>
      </c>
      <c r="H13" s="1"/>
      <c r="K13">
        <v>0</v>
      </c>
      <c r="L13" s="2"/>
      <c r="M13" s="3" t="s">
        <v>50</v>
      </c>
      <c r="N13" t="str">
        <f t="shared" si="0"/>
        <v>NO ENVIAR</v>
      </c>
    </row>
    <row r="14" spans="1:14" x14ac:dyDescent="0.35">
      <c r="A14">
        <f t="shared" si="1"/>
        <v>13</v>
      </c>
      <c r="B14" t="s">
        <v>12</v>
      </c>
      <c r="C14" s="8" t="s">
        <v>222</v>
      </c>
      <c r="D14" t="s">
        <v>40</v>
      </c>
      <c r="E14" t="s">
        <v>51</v>
      </c>
      <c r="F14" t="s">
        <v>52</v>
      </c>
      <c r="G14">
        <v>5.43</v>
      </c>
      <c r="H14" s="1"/>
      <c r="K14">
        <v>0</v>
      </c>
      <c r="L14" s="2"/>
      <c r="M14" s="3" t="s">
        <v>53</v>
      </c>
      <c r="N14" t="str">
        <f t="shared" si="0"/>
        <v>NO ENVIAR</v>
      </c>
    </row>
    <row r="15" spans="1:14" x14ac:dyDescent="0.35">
      <c r="A15">
        <f t="shared" si="1"/>
        <v>14</v>
      </c>
      <c r="B15" t="s">
        <v>12</v>
      </c>
      <c r="C15" s="8" t="s">
        <v>223</v>
      </c>
      <c r="D15" t="s">
        <v>40</v>
      </c>
      <c r="E15" t="s">
        <v>54</v>
      </c>
      <c r="F15" t="s">
        <v>54</v>
      </c>
      <c r="G15">
        <v>7.29</v>
      </c>
      <c r="H15" s="1"/>
      <c r="K15">
        <v>0</v>
      </c>
      <c r="L15" s="2"/>
      <c r="M15" t="s">
        <v>55</v>
      </c>
      <c r="N15" t="s">
        <v>44</v>
      </c>
    </row>
    <row r="16" spans="1:14" x14ac:dyDescent="0.35">
      <c r="A16">
        <f t="shared" si="1"/>
        <v>15</v>
      </c>
      <c r="B16" t="s">
        <v>29</v>
      </c>
      <c r="C16" s="8" t="s">
        <v>224</v>
      </c>
      <c r="D16" t="s">
        <v>40</v>
      </c>
      <c r="E16" t="s">
        <v>56</v>
      </c>
      <c r="F16" t="s">
        <v>56</v>
      </c>
      <c r="G16">
        <v>1.8</v>
      </c>
      <c r="H16" s="1"/>
      <c r="K16">
        <v>0</v>
      </c>
      <c r="L16" s="2"/>
      <c r="M16" t="s">
        <v>55</v>
      </c>
      <c r="N16" t="s">
        <v>44</v>
      </c>
    </row>
    <row r="17" spans="1:14" x14ac:dyDescent="0.35">
      <c r="A17">
        <f t="shared" si="1"/>
        <v>16</v>
      </c>
      <c r="C17" s="8" t="s">
        <v>225</v>
      </c>
      <c r="D17" t="s">
        <v>40</v>
      </c>
      <c r="E17" t="s">
        <v>57</v>
      </c>
      <c r="H17" s="1"/>
      <c r="K17">
        <v>0</v>
      </c>
      <c r="L17" s="2"/>
      <c r="N17" t="str">
        <f t="shared" si="0"/>
        <v>NO ENVIAR</v>
      </c>
    </row>
    <row r="18" spans="1:14" x14ac:dyDescent="0.35">
      <c r="A18">
        <f t="shared" si="1"/>
        <v>17</v>
      </c>
      <c r="B18" t="s">
        <v>12</v>
      </c>
      <c r="C18" s="8" t="s">
        <v>226</v>
      </c>
      <c r="D18" t="s">
        <v>58</v>
      </c>
      <c r="E18" t="s">
        <v>59</v>
      </c>
      <c r="F18" t="s">
        <v>59</v>
      </c>
      <c r="G18">
        <v>48.89</v>
      </c>
      <c r="H18" s="1"/>
      <c r="K18">
        <v>0</v>
      </c>
      <c r="L18" s="2"/>
      <c r="M18" s="3" t="s">
        <v>60</v>
      </c>
      <c r="N18" t="str">
        <f t="shared" si="0"/>
        <v>NO ENVIAR</v>
      </c>
    </row>
    <row r="19" spans="1:14" x14ac:dyDescent="0.35">
      <c r="A19">
        <f t="shared" si="1"/>
        <v>18</v>
      </c>
      <c r="B19" t="s">
        <v>12</v>
      </c>
      <c r="C19" s="8" t="s">
        <v>227</v>
      </c>
      <c r="D19" t="s">
        <v>58</v>
      </c>
      <c r="E19" t="s">
        <v>61</v>
      </c>
      <c r="F19" t="s">
        <v>61</v>
      </c>
      <c r="G19">
        <v>1.33</v>
      </c>
      <c r="H19" s="1"/>
      <c r="K19">
        <v>0</v>
      </c>
      <c r="L19" s="2"/>
      <c r="M19" s="3" t="s">
        <v>19</v>
      </c>
      <c r="N19" t="str">
        <f t="shared" si="0"/>
        <v>NO ENVIAR</v>
      </c>
    </row>
    <row r="20" spans="1:14" x14ac:dyDescent="0.35">
      <c r="A20">
        <f t="shared" si="1"/>
        <v>19</v>
      </c>
      <c r="B20" s="4" t="s">
        <v>12</v>
      </c>
      <c r="C20" s="8" t="s">
        <v>228</v>
      </c>
      <c r="D20" s="4" t="s">
        <v>58</v>
      </c>
      <c r="E20" s="4" t="s">
        <v>62</v>
      </c>
      <c r="F20" s="4" t="s">
        <v>63</v>
      </c>
      <c r="G20" s="4">
        <v>3.9</v>
      </c>
      <c r="H20" s="1"/>
      <c r="K20">
        <v>0</v>
      </c>
      <c r="L20" s="2"/>
      <c r="M20" s="5" t="s">
        <v>64</v>
      </c>
      <c r="N20" t="str">
        <f t="shared" si="0"/>
        <v>NO ENVIAR</v>
      </c>
    </row>
    <row r="21" spans="1:14" x14ac:dyDescent="0.35">
      <c r="A21">
        <f t="shared" si="1"/>
        <v>20</v>
      </c>
      <c r="B21" t="s">
        <v>12</v>
      </c>
      <c r="C21" s="8" t="s">
        <v>229</v>
      </c>
      <c r="D21" t="s">
        <v>58</v>
      </c>
      <c r="E21" t="s">
        <v>65</v>
      </c>
      <c r="F21" t="s">
        <v>66</v>
      </c>
      <c r="G21">
        <v>8.2100000000000009</v>
      </c>
      <c r="H21" s="1"/>
      <c r="K21">
        <v>0</v>
      </c>
      <c r="L21" s="2"/>
      <c r="M21" s="3" t="s">
        <v>67</v>
      </c>
      <c r="N21" t="str">
        <f t="shared" si="0"/>
        <v>NO ENVIAR</v>
      </c>
    </row>
    <row r="22" spans="1:14" x14ac:dyDescent="0.35">
      <c r="A22">
        <f t="shared" si="1"/>
        <v>21</v>
      </c>
      <c r="B22" t="s">
        <v>12</v>
      </c>
      <c r="C22" s="8" t="s">
        <v>230</v>
      </c>
      <c r="D22" t="s">
        <v>68</v>
      </c>
      <c r="E22" t="s">
        <v>14</v>
      </c>
      <c r="F22" t="s">
        <v>69</v>
      </c>
      <c r="G22">
        <v>105.41</v>
      </c>
      <c r="H22" s="1"/>
      <c r="K22">
        <v>0</v>
      </c>
      <c r="L22" s="2"/>
      <c r="M22" s="3" t="s">
        <v>70</v>
      </c>
      <c r="N22" t="str">
        <f t="shared" si="0"/>
        <v>NO ENVIAR</v>
      </c>
    </row>
    <row r="23" spans="1:14" x14ac:dyDescent="0.35">
      <c r="A23">
        <f t="shared" si="1"/>
        <v>22</v>
      </c>
      <c r="B23" t="s">
        <v>12</v>
      </c>
      <c r="C23" s="8" t="s">
        <v>231</v>
      </c>
      <c r="D23" t="s">
        <v>71</v>
      </c>
      <c r="E23" t="s">
        <v>14</v>
      </c>
      <c r="F23" t="s">
        <v>72</v>
      </c>
      <c r="G23">
        <v>98.61</v>
      </c>
      <c r="H23" s="1"/>
      <c r="K23">
        <v>0</v>
      </c>
      <c r="L23" s="2"/>
      <c r="M23" s="3" t="s">
        <v>73</v>
      </c>
      <c r="N23" t="str">
        <f t="shared" si="0"/>
        <v>NO ENVIAR</v>
      </c>
    </row>
    <row r="24" spans="1:14" x14ac:dyDescent="0.35">
      <c r="A24">
        <f t="shared" si="1"/>
        <v>23</v>
      </c>
      <c r="B24" t="s">
        <v>12</v>
      </c>
      <c r="C24" s="8" t="s">
        <v>232</v>
      </c>
      <c r="D24" t="s">
        <v>74</v>
      </c>
      <c r="E24" t="s">
        <v>75</v>
      </c>
      <c r="F24" t="s">
        <v>76</v>
      </c>
      <c r="G24">
        <v>13.06</v>
      </c>
      <c r="H24" s="1"/>
      <c r="K24">
        <v>0</v>
      </c>
      <c r="L24" s="2"/>
      <c r="M24" s="3" t="s">
        <v>77</v>
      </c>
      <c r="N24" t="str">
        <f t="shared" si="0"/>
        <v>NO ENVIAR</v>
      </c>
    </row>
    <row r="25" spans="1:14" x14ac:dyDescent="0.35">
      <c r="A25">
        <f t="shared" si="1"/>
        <v>24</v>
      </c>
      <c r="B25" t="s">
        <v>29</v>
      </c>
      <c r="C25" s="8" t="s">
        <v>233</v>
      </c>
      <c r="D25" t="s">
        <v>74</v>
      </c>
      <c r="E25" t="s">
        <v>78</v>
      </c>
      <c r="F25" t="s">
        <v>79</v>
      </c>
      <c r="G25">
        <v>18.899999999999999</v>
      </c>
      <c r="H25" s="1"/>
      <c r="K25">
        <v>0</v>
      </c>
      <c r="L25" s="2"/>
      <c r="M25" s="3" t="s">
        <v>80</v>
      </c>
      <c r="N25" t="str">
        <f t="shared" si="0"/>
        <v>NO ENVIAR</v>
      </c>
    </row>
    <row r="26" spans="1:14" x14ac:dyDescent="0.35">
      <c r="A26">
        <f t="shared" si="1"/>
        <v>25</v>
      </c>
      <c r="B26" t="s">
        <v>29</v>
      </c>
      <c r="C26" s="8" t="s">
        <v>234</v>
      </c>
      <c r="D26" t="s">
        <v>74</v>
      </c>
      <c r="E26" t="s">
        <v>81</v>
      </c>
      <c r="F26" t="s">
        <v>82</v>
      </c>
      <c r="G26">
        <v>13.93</v>
      </c>
      <c r="H26" s="1"/>
      <c r="K26">
        <v>0</v>
      </c>
      <c r="L26" s="2"/>
      <c r="M26" s="3" t="s">
        <v>83</v>
      </c>
      <c r="N26" t="str">
        <f t="shared" si="0"/>
        <v>NO ENVIAR</v>
      </c>
    </row>
    <row r="27" spans="1:14" x14ac:dyDescent="0.35">
      <c r="A27">
        <f t="shared" si="1"/>
        <v>26</v>
      </c>
      <c r="B27" t="s">
        <v>12</v>
      </c>
      <c r="C27" s="8" t="s">
        <v>235</v>
      </c>
      <c r="D27" t="s">
        <v>74</v>
      </c>
      <c r="E27" t="s">
        <v>84</v>
      </c>
      <c r="F27" t="s">
        <v>85</v>
      </c>
      <c r="G27">
        <v>13.93</v>
      </c>
      <c r="H27" s="1"/>
      <c r="K27">
        <v>0</v>
      </c>
      <c r="L27" s="2"/>
      <c r="M27" s="3" t="s">
        <v>86</v>
      </c>
      <c r="N27" t="str">
        <f t="shared" si="0"/>
        <v>NO ENVIAR</v>
      </c>
    </row>
    <row r="28" spans="1:14" x14ac:dyDescent="0.35">
      <c r="A28">
        <f t="shared" si="1"/>
        <v>27</v>
      </c>
      <c r="B28" t="s">
        <v>12</v>
      </c>
      <c r="C28" s="8" t="s">
        <v>236</v>
      </c>
      <c r="D28" t="s">
        <v>74</v>
      </c>
      <c r="E28" t="s">
        <v>37</v>
      </c>
      <c r="F28" t="s">
        <v>32</v>
      </c>
      <c r="G28">
        <v>13.93</v>
      </c>
      <c r="H28" s="1"/>
      <c r="K28">
        <v>0</v>
      </c>
      <c r="L28" s="2"/>
      <c r="M28" s="3" t="s">
        <v>33</v>
      </c>
      <c r="N28" t="str">
        <f t="shared" si="0"/>
        <v>NO ENVIAR</v>
      </c>
    </row>
    <row r="29" spans="1:14" x14ac:dyDescent="0.35">
      <c r="A29">
        <f t="shared" si="1"/>
        <v>28</v>
      </c>
      <c r="B29" t="s">
        <v>29</v>
      </c>
      <c r="C29" s="8" t="s">
        <v>237</v>
      </c>
      <c r="D29" t="s">
        <v>74</v>
      </c>
      <c r="E29" t="s">
        <v>87</v>
      </c>
      <c r="F29" t="s">
        <v>88</v>
      </c>
      <c r="G29">
        <v>2.4</v>
      </c>
      <c r="H29" s="1"/>
      <c r="K29">
        <v>0</v>
      </c>
      <c r="L29" s="2"/>
      <c r="M29" s="3" t="s">
        <v>89</v>
      </c>
      <c r="N29" t="str">
        <f t="shared" si="0"/>
        <v>NO ENVIAR</v>
      </c>
    </row>
    <row r="30" spans="1:14" x14ac:dyDescent="0.35">
      <c r="A30">
        <f t="shared" si="1"/>
        <v>29</v>
      </c>
      <c r="B30" t="s">
        <v>12</v>
      </c>
      <c r="C30" s="8" t="s">
        <v>238</v>
      </c>
      <c r="D30" t="s">
        <v>74</v>
      </c>
      <c r="E30" t="s">
        <v>90</v>
      </c>
      <c r="F30" t="s">
        <v>90</v>
      </c>
      <c r="G30">
        <v>4.8</v>
      </c>
      <c r="H30" s="1"/>
      <c r="K30">
        <v>0</v>
      </c>
      <c r="L30" s="2"/>
      <c r="M30" s="3" t="s">
        <v>91</v>
      </c>
      <c r="N30" t="str">
        <f t="shared" si="0"/>
        <v>NO ENVIAR</v>
      </c>
    </row>
    <row r="31" spans="1:14" x14ac:dyDescent="0.35">
      <c r="A31">
        <f t="shared" si="1"/>
        <v>30</v>
      </c>
      <c r="B31" t="s">
        <v>12</v>
      </c>
      <c r="C31" s="8" t="s">
        <v>239</v>
      </c>
      <c r="D31" t="s">
        <v>74</v>
      </c>
      <c r="E31" t="s">
        <v>92</v>
      </c>
      <c r="F31" t="s">
        <v>92</v>
      </c>
      <c r="G31">
        <v>2.4</v>
      </c>
      <c r="H31" s="1"/>
      <c r="K31">
        <v>0</v>
      </c>
      <c r="L31" s="2"/>
      <c r="M31" s="3" t="s">
        <v>93</v>
      </c>
      <c r="N31" t="str">
        <f t="shared" si="0"/>
        <v>NO ENVIAR</v>
      </c>
    </row>
    <row r="32" spans="1:14" x14ac:dyDescent="0.35">
      <c r="A32">
        <f t="shared" si="1"/>
        <v>31</v>
      </c>
      <c r="B32" t="s">
        <v>94</v>
      </c>
      <c r="C32" s="8" t="s">
        <v>240</v>
      </c>
      <c r="D32" t="s">
        <v>74</v>
      </c>
      <c r="E32" t="s">
        <v>95</v>
      </c>
      <c r="F32" t="s">
        <v>95</v>
      </c>
      <c r="G32">
        <v>10.45</v>
      </c>
      <c r="H32" s="1"/>
      <c r="K32">
        <v>0</v>
      </c>
      <c r="L32" s="2"/>
      <c r="M32" s="3" t="s">
        <v>96</v>
      </c>
      <c r="N32" t="str">
        <f t="shared" si="0"/>
        <v>NO ENVIAR</v>
      </c>
    </row>
    <row r="33" spans="1:14" x14ac:dyDescent="0.35">
      <c r="A33">
        <f t="shared" si="1"/>
        <v>32</v>
      </c>
      <c r="B33" t="s">
        <v>12</v>
      </c>
      <c r="C33" s="8" t="s">
        <v>241</v>
      </c>
      <c r="D33" t="s">
        <v>74</v>
      </c>
      <c r="E33" t="s">
        <v>97</v>
      </c>
      <c r="F33" t="s">
        <v>97</v>
      </c>
      <c r="G33">
        <v>0.5</v>
      </c>
      <c r="H33" s="1"/>
      <c r="K33">
        <v>0</v>
      </c>
      <c r="L33" s="2"/>
      <c r="M33" s="3" t="s">
        <v>98</v>
      </c>
      <c r="N33" t="str">
        <f t="shared" si="0"/>
        <v>NO ENVIAR</v>
      </c>
    </row>
    <row r="34" spans="1:14" x14ac:dyDescent="0.35">
      <c r="A34">
        <f t="shared" si="1"/>
        <v>33</v>
      </c>
      <c r="B34" t="s">
        <v>29</v>
      </c>
      <c r="C34" s="8" t="s">
        <v>242</v>
      </c>
      <c r="D34" t="s">
        <v>74</v>
      </c>
      <c r="E34" t="s">
        <v>99</v>
      </c>
      <c r="F34" t="s">
        <v>99</v>
      </c>
      <c r="G34">
        <v>0.5</v>
      </c>
      <c r="H34" s="1"/>
      <c r="K34">
        <v>0</v>
      </c>
      <c r="L34" s="2"/>
      <c r="M34" t="s">
        <v>89</v>
      </c>
      <c r="N34" t="str">
        <f t="shared" si="0"/>
        <v>NO ENVIAR</v>
      </c>
    </row>
    <row r="35" spans="1:14" x14ac:dyDescent="0.35">
      <c r="A35">
        <f t="shared" si="1"/>
        <v>34</v>
      </c>
      <c r="B35" t="s">
        <v>12</v>
      </c>
      <c r="C35" s="8" t="s">
        <v>243</v>
      </c>
      <c r="D35" t="s">
        <v>74</v>
      </c>
      <c r="E35" t="s">
        <v>100</v>
      </c>
      <c r="F35" t="s">
        <v>101</v>
      </c>
      <c r="G35">
        <v>1</v>
      </c>
      <c r="H35" s="1"/>
      <c r="K35">
        <v>0</v>
      </c>
      <c r="L35" s="2"/>
      <c r="M35" s="3" t="s">
        <v>102</v>
      </c>
      <c r="N35" t="str">
        <f t="shared" si="0"/>
        <v>NO ENVIAR</v>
      </c>
    </row>
    <row r="36" spans="1:14" x14ac:dyDescent="0.35">
      <c r="A36">
        <f t="shared" si="1"/>
        <v>35</v>
      </c>
      <c r="B36" t="s">
        <v>12</v>
      </c>
      <c r="C36" s="8" t="s">
        <v>244</v>
      </c>
      <c r="D36" t="s">
        <v>103</v>
      </c>
      <c r="E36" t="s">
        <v>14</v>
      </c>
      <c r="F36" t="s">
        <v>104</v>
      </c>
      <c r="G36">
        <v>467.98</v>
      </c>
      <c r="H36" s="1"/>
      <c r="K36">
        <v>0</v>
      </c>
      <c r="L36" s="2"/>
      <c r="M36" s="3" t="s">
        <v>105</v>
      </c>
      <c r="N36" t="str">
        <f t="shared" si="0"/>
        <v>NO ENVIAR</v>
      </c>
    </row>
    <row r="37" spans="1:14" x14ac:dyDescent="0.35">
      <c r="A37">
        <f t="shared" si="1"/>
        <v>36</v>
      </c>
      <c r="B37" s="6" t="s">
        <v>12</v>
      </c>
      <c r="C37" s="8" t="s">
        <v>245</v>
      </c>
      <c r="D37" s="6" t="s">
        <v>106</v>
      </c>
      <c r="E37" s="6" t="s">
        <v>14</v>
      </c>
      <c r="F37" s="6" t="s">
        <v>107</v>
      </c>
      <c r="G37" s="6">
        <v>119.19</v>
      </c>
      <c r="H37" s="1"/>
      <c r="K37">
        <v>0</v>
      </c>
      <c r="L37" s="2"/>
      <c r="M37" s="6" t="s">
        <v>47</v>
      </c>
      <c r="N37" t="s">
        <v>44</v>
      </c>
    </row>
    <row r="38" spans="1:14" x14ac:dyDescent="0.35">
      <c r="A38">
        <f t="shared" si="1"/>
        <v>37</v>
      </c>
      <c r="B38" t="s">
        <v>12</v>
      </c>
      <c r="C38" s="8" t="s">
        <v>288</v>
      </c>
      <c r="D38" s="6" t="s">
        <v>106</v>
      </c>
      <c r="E38" t="s">
        <v>61</v>
      </c>
      <c r="F38" t="s">
        <v>108</v>
      </c>
      <c r="G38">
        <f>[1]Listado!E44</f>
        <v>43.44</v>
      </c>
      <c r="H38" s="1"/>
      <c r="K38">
        <v>0</v>
      </c>
      <c r="L38" s="2"/>
      <c r="M38" s="3" t="s">
        <v>19</v>
      </c>
      <c r="N38" t="str">
        <f t="shared" si="0"/>
        <v>NO ENVIAR</v>
      </c>
    </row>
    <row r="39" spans="1:14" x14ac:dyDescent="0.35">
      <c r="A39">
        <f t="shared" si="1"/>
        <v>38</v>
      </c>
      <c r="B39" t="s">
        <v>29</v>
      </c>
      <c r="C39" s="8" t="s">
        <v>246</v>
      </c>
      <c r="D39" t="s">
        <v>109</v>
      </c>
      <c r="E39" t="s">
        <v>14</v>
      </c>
      <c r="F39" t="s">
        <v>110</v>
      </c>
      <c r="G39">
        <v>39.21</v>
      </c>
      <c r="H39" s="1"/>
      <c r="K39">
        <v>0</v>
      </c>
      <c r="L39" s="2"/>
      <c r="M39" s="3" t="s">
        <v>111</v>
      </c>
      <c r="N39" t="str">
        <f t="shared" si="0"/>
        <v>NO ENVIAR</v>
      </c>
    </row>
    <row r="40" spans="1:14" x14ac:dyDescent="0.35">
      <c r="A40">
        <f t="shared" si="1"/>
        <v>39</v>
      </c>
      <c r="B40" t="s">
        <v>12</v>
      </c>
      <c r="C40" s="8" t="s">
        <v>247</v>
      </c>
      <c r="D40" t="s">
        <v>112</v>
      </c>
      <c r="E40" t="s">
        <v>113</v>
      </c>
      <c r="F40" t="s">
        <v>114</v>
      </c>
      <c r="G40">
        <v>22.39</v>
      </c>
      <c r="H40" s="1"/>
      <c r="K40">
        <v>0</v>
      </c>
      <c r="L40" s="2"/>
      <c r="M40" s="3" t="s">
        <v>115</v>
      </c>
      <c r="N40" t="str">
        <f t="shared" si="0"/>
        <v>NO ENVIAR</v>
      </c>
    </row>
    <row r="41" spans="1:14" x14ac:dyDescent="0.35">
      <c r="A41">
        <f t="shared" si="1"/>
        <v>40</v>
      </c>
      <c r="B41" s="6" t="s">
        <v>12</v>
      </c>
      <c r="C41" s="8" t="s">
        <v>248</v>
      </c>
      <c r="D41" s="6" t="s">
        <v>112</v>
      </c>
      <c r="E41" s="6" t="s">
        <v>116</v>
      </c>
      <c r="F41" s="6" t="s">
        <v>117</v>
      </c>
      <c r="G41" s="6">
        <v>51.94</v>
      </c>
      <c r="H41" s="1"/>
      <c r="K41">
        <v>0</v>
      </c>
      <c r="L41" s="2"/>
      <c r="M41" s="7" t="s">
        <v>118</v>
      </c>
      <c r="N41" t="str">
        <f t="shared" si="0"/>
        <v>NO ENVIAR</v>
      </c>
    </row>
    <row r="42" spans="1:14" x14ac:dyDescent="0.35">
      <c r="A42">
        <f t="shared" si="1"/>
        <v>41</v>
      </c>
      <c r="B42" t="s">
        <v>12</v>
      </c>
      <c r="C42" s="8" t="s">
        <v>249</v>
      </c>
      <c r="D42" t="s">
        <v>119</v>
      </c>
      <c r="E42" t="s">
        <v>14</v>
      </c>
      <c r="F42" t="s">
        <v>120</v>
      </c>
      <c r="G42">
        <v>230.26</v>
      </c>
      <c r="H42" s="1"/>
      <c r="K42">
        <v>0</v>
      </c>
      <c r="L42" s="2"/>
      <c r="M42" s="3" t="s">
        <v>121</v>
      </c>
      <c r="N42" t="str">
        <f t="shared" si="0"/>
        <v>NO ENVIAR</v>
      </c>
    </row>
    <row r="43" spans="1:14" x14ac:dyDescent="0.35">
      <c r="A43">
        <f t="shared" si="1"/>
        <v>42</v>
      </c>
      <c r="B43" t="s">
        <v>12</v>
      </c>
      <c r="C43" s="8" t="s">
        <v>250</v>
      </c>
      <c r="D43" t="s">
        <v>122</v>
      </c>
      <c r="E43" t="s">
        <v>123</v>
      </c>
      <c r="F43" t="s">
        <v>124</v>
      </c>
      <c r="G43">
        <v>8.8000000000000007</v>
      </c>
      <c r="H43" s="1"/>
      <c r="K43">
        <v>0</v>
      </c>
      <c r="L43" s="2"/>
      <c r="M43" s="3" t="s">
        <v>125</v>
      </c>
      <c r="N43" t="str">
        <f t="shared" si="0"/>
        <v>NO ENVIAR</v>
      </c>
    </row>
    <row r="44" spans="1:14" x14ac:dyDescent="0.35">
      <c r="A44">
        <f t="shared" si="1"/>
        <v>43</v>
      </c>
      <c r="B44" t="s">
        <v>94</v>
      </c>
      <c r="C44" s="8" t="s">
        <v>251</v>
      </c>
      <c r="D44" t="s">
        <v>122</v>
      </c>
      <c r="E44" t="s">
        <v>126</v>
      </c>
      <c r="F44" t="s">
        <v>127</v>
      </c>
      <c r="G44">
        <v>8.9</v>
      </c>
      <c r="H44" s="1"/>
      <c r="K44">
        <v>0</v>
      </c>
      <c r="L44" s="2"/>
      <c r="M44" s="3" t="s">
        <v>128</v>
      </c>
      <c r="N44" t="str">
        <f t="shared" si="0"/>
        <v>NO ENVIAR</v>
      </c>
    </row>
    <row r="45" spans="1:14" x14ac:dyDescent="0.35">
      <c r="A45">
        <f t="shared" si="1"/>
        <v>44</v>
      </c>
      <c r="B45" t="s">
        <v>29</v>
      </c>
      <c r="C45" s="8" t="s">
        <v>252</v>
      </c>
      <c r="D45" t="s">
        <v>122</v>
      </c>
      <c r="E45" t="s">
        <v>129</v>
      </c>
      <c r="F45" t="s">
        <v>130</v>
      </c>
      <c r="G45">
        <v>10.07</v>
      </c>
      <c r="H45" s="1"/>
      <c r="K45">
        <v>0</v>
      </c>
      <c r="L45" s="2"/>
      <c r="M45" s="3" t="s">
        <v>131</v>
      </c>
      <c r="N45" t="str">
        <f t="shared" si="0"/>
        <v>NO ENVIAR</v>
      </c>
    </row>
    <row r="46" spans="1:14" x14ac:dyDescent="0.35">
      <c r="A46">
        <f t="shared" si="1"/>
        <v>45</v>
      </c>
      <c r="B46" t="s">
        <v>29</v>
      </c>
      <c r="C46" s="8" t="s">
        <v>253</v>
      </c>
      <c r="D46" t="s">
        <v>122</v>
      </c>
      <c r="E46" t="s">
        <v>132</v>
      </c>
      <c r="F46" t="s">
        <v>133</v>
      </c>
      <c r="G46">
        <v>10.28</v>
      </c>
      <c r="H46" s="1"/>
      <c r="K46">
        <v>0</v>
      </c>
      <c r="L46" s="2"/>
      <c r="M46" s="3" t="s">
        <v>134</v>
      </c>
      <c r="N46" t="str">
        <f t="shared" si="0"/>
        <v>NO ENVIAR</v>
      </c>
    </row>
    <row r="47" spans="1:14" x14ac:dyDescent="0.35">
      <c r="A47">
        <f t="shared" si="1"/>
        <v>46</v>
      </c>
      <c r="B47" t="s">
        <v>135</v>
      </c>
      <c r="C47" s="8" t="s">
        <v>254</v>
      </c>
      <c r="D47" t="s">
        <v>122</v>
      </c>
      <c r="E47" t="s">
        <v>129</v>
      </c>
      <c r="F47" t="s">
        <v>136</v>
      </c>
      <c r="G47">
        <v>51.709999999999994</v>
      </c>
      <c r="H47" s="1"/>
      <c r="K47">
        <v>0</v>
      </c>
      <c r="L47" s="2"/>
      <c r="M47" s="3" t="s">
        <v>137</v>
      </c>
      <c r="N47" t="str">
        <f t="shared" si="0"/>
        <v>NO ENVIAR</v>
      </c>
    </row>
    <row r="48" spans="1:14" x14ac:dyDescent="0.35">
      <c r="A48">
        <f t="shared" si="1"/>
        <v>47</v>
      </c>
      <c r="B48" t="s">
        <v>94</v>
      </c>
      <c r="C48" s="8" t="s">
        <v>286</v>
      </c>
      <c r="D48" t="s">
        <v>122</v>
      </c>
      <c r="E48" t="s">
        <v>138</v>
      </c>
      <c r="F48" t="s">
        <v>139</v>
      </c>
      <c r="H48" s="1"/>
      <c r="K48">
        <v>0</v>
      </c>
      <c r="L48" s="2"/>
      <c r="N48" t="str">
        <f t="shared" si="0"/>
        <v>NO ENVIAR</v>
      </c>
    </row>
    <row r="49" spans="1:14" x14ac:dyDescent="0.35">
      <c r="A49">
        <f t="shared" si="1"/>
        <v>48</v>
      </c>
      <c r="B49" t="s">
        <v>12</v>
      </c>
      <c r="C49" s="8" t="s">
        <v>255</v>
      </c>
      <c r="D49" t="s">
        <v>122</v>
      </c>
      <c r="E49" t="s">
        <v>140</v>
      </c>
      <c r="F49" t="s">
        <v>141</v>
      </c>
      <c r="G49">
        <v>5.73</v>
      </c>
      <c r="H49" s="1"/>
      <c r="K49">
        <v>0</v>
      </c>
      <c r="L49" s="2"/>
      <c r="M49" s="3" t="s">
        <v>142</v>
      </c>
      <c r="N49" t="str">
        <f t="shared" si="0"/>
        <v>NO ENVIAR</v>
      </c>
    </row>
    <row r="50" spans="1:14" x14ac:dyDescent="0.35">
      <c r="A50">
        <f t="shared" si="1"/>
        <v>49</v>
      </c>
      <c r="B50" t="s">
        <v>12</v>
      </c>
      <c r="C50" s="8" t="s">
        <v>256</v>
      </c>
      <c r="D50" t="s">
        <v>122</v>
      </c>
      <c r="E50" t="s">
        <v>138</v>
      </c>
      <c r="F50" t="s">
        <v>143</v>
      </c>
      <c r="H50" s="1"/>
      <c r="K50">
        <v>0</v>
      </c>
      <c r="L50" s="2"/>
      <c r="M50" s="3"/>
      <c r="N50" t="str">
        <f t="shared" si="0"/>
        <v>NO ENVIAR</v>
      </c>
    </row>
    <row r="51" spans="1:14" x14ac:dyDescent="0.35">
      <c r="A51">
        <f t="shared" si="1"/>
        <v>50</v>
      </c>
      <c r="B51" t="s">
        <v>12</v>
      </c>
      <c r="C51" s="8" t="s">
        <v>257</v>
      </c>
      <c r="D51" t="s">
        <v>122</v>
      </c>
      <c r="E51" t="s">
        <v>144</v>
      </c>
      <c r="F51" t="s">
        <v>145</v>
      </c>
      <c r="G51">
        <v>11</v>
      </c>
      <c r="H51" s="1"/>
      <c r="K51">
        <v>0</v>
      </c>
      <c r="L51" s="2"/>
      <c r="M51" s="3" t="s">
        <v>146</v>
      </c>
      <c r="N51" t="str">
        <f t="shared" si="0"/>
        <v>NO ENVIAR</v>
      </c>
    </row>
    <row r="52" spans="1:14" x14ac:dyDescent="0.35">
      <c r="A52">
        <f t="shared" si="1"/>
        <v>51</v>
      </c>
      <c r="B52" t="s">
        <v>12</v>
      </c>
      <c r="C52" s="8" t="s">
        <v>258</v>
      </c>
      <c r="D52" t="s">
        <v>122</v>
      </c>
      <c r="E52" t="s">
        <v>147</v>
      </c>
      <c r="F52" t="s">
        <v>145</v>
      </c>
      <c r="G52">
        <v>10.51</v>
      </c>
      <c r="H52" s="1"/>
      <c r="K52">
        <v>0</v>
      </c>
      <c r="L52" s="2"/>
      <c r="M52" s="3" t="s">
        <v>146</v>
      </c>
      <c r="N52" t="str">
        <f t="shared" si="0"/>
        <v>NO ENVIAR</v>
      </c>
    </row>
    <row r="53" spans="1:14" x14ac:dyDescent="0.35">
      <c r="A53">
        <f t="shared" si="1"/>
        <v>52</v>
      </c>
      <c r="B53" t="s">
        <v>12</v>
      </c>
      <c r="C53" s="8" t="s">
        <v>259</v>
      </c>
      <c r="D53" t="s">
        <v>122</v>
      </c>
      <c r="E53" t="s">
        <v>148</v>
      </c>
      <c r="F53" t="s">
        <v>149</v>
      </c>
      <c r="G53">
        <v>8.84</v>
      </c>
      <c r="H53" s="1"/>
      <c r="K53">
        <v>0</v>
      </c>
      <c r="L53" s="2"/>
      <c r="N53" t="str">
        <f t="shared" si="0"/>
        <v>NO ENVIAR</v>
      </c>
    </row>
    <row r="54" spans="1:14" x14ac:dyDescent="0.35">
      <c r="A54">
        <f t="shared" si="1"/>
        <v>53</v>
      </c>
      <c r="B54" t="s">
        <v>29</v>
      </c>
      <c r="C54" s="8" t="s">
        <v>260</v>
      </c>
      <c r="D54" t="s">
        <v>122</v>
      </c>
      <c r="E54" t="s">
        <v>150</v>
      </c>
      <c r="F54" t="s">
        <v>151</v>
      </c>
      <c r="G54">
        <v>11.25</v>
      </c>
      <c r="H54" s="1"/>
      <c r="K54">
        <v>0</v>
      </c>
      <c r="L54" s="2"/>
      <c r="M54" s="3" t="s">
        <v>152</v>
      </c>
      <c r="N54" t="str">
        <f t="shared" si="0"/>
        <v>NO ENVIAR</v>
      </c>
    </row>
    <row r="55" spans="1:14" x14ac:dyDescent="0.35">
      <c r="A55">
        <f t="shared" si="1"/>
        <v>54</v>
      </c>
      <c r="B55" t="s">
        <v>12</v>
      </c>
      <c r="C55" s="8" t="s">
        <v>261</v>
      </c>
      <c r="D55" t="s">
        <v>122</v>
      </c>
      <c r="E55" t="s">
        <v>153</v>
      </c>
      <c r="F55" t="s">
        <v>154</v>
      </c>
      <c r="G55">
        <v>21.81</v>
      </c>
      <c r="H55" s="1"/>
      <c r="K55">
        <v>0</v>
      </c>
      <c r="L55" s="2"/>
      <c r="M55" s="3" t="s">
        <v>155</v>
      </c>
      <c r="N55" t="str">
        <f t="shared" si="0"/>
        <v>NO ENVIAR</v>
      </c>
    </row>
    <row r="56" spans="1:14" x14ac:dyDescent="0.35">
      <c r="A56">
        <f t="shared" si="1"/>
        <v>55</v>
      </c>
      <c r="B56" t="s">
        <v>29</v>
      </c>
      <c r="C56" s="8" t="s">
        <v>262</v>
      </c>
      <c r="D56" t="s">
        <v>122</v>
      </c>
      <c r="E56" t="s">
        <v>153</v>
      </c>
      <c r="F56" t="s">
        <v>156</v>
      </c>
      <c r="G56">
        <v>8</v>
      </c>
      <c r="H56" s="1"/>
      <c r="K56">
        <v>0</v>
      </c>
      <c r="L56" s="2"/>
      <c r="M56" s="3" t="s">
        <v>157</v>
      </c>
      <c r="N56" t="str">
        <f t="shared" si="0"/>
        <v>NO ENVIAR</v>
      </c>
    </row>
    <row r="57" spans="1:14" x14ac:dyDescent="0.35">
      <c r="A57">
        <f t="shared" si="1"/>
        <v>56</v>
      </c>
      <c r="B57" t="s">
        <v>12</v>
      </c>
      <c r="C57" s="8" t="s">
        <v>263</v>
      </c>
      <c r="D57" t="s">
        <v>122</v>
      </c>
      <c r="E57" t="s">
        <v>158</v>
      </c>
      <c r="F57" t="s">
        <v>159</v>
      </c>
      <c r="G57">
        <v>5.99</v>
      </c>
      <c r="H57" s="1"/>
      <c r="K57">
        <v>0</v>
      </c>
      <c r="L57" s="2"/>
      <c r="M57" t="s">
        <v>47</v>
      </c>
      <c r="N57" t="str">
        <f t="shared" si="0"/>
        <v>NO ENVIAR</v>
      </c>
    </row>
    <row r="58" spans="1:14" x14ac:dyDescent="0.35">
      <c r="A58">
        <f t="shared" si="1"/>
        <v>57</v>
      </c>
      <c r="B58" t="s">
        <v>135</v>
      </c>
      <c r="C58" s="8" t="s">
        <v>264</v>
      </c>
      <c r="D58" t="s">
        <v>122</v>
      </c>
      <c r="E58" t="s">
        <v>160</v>
      </c>
      <c r="F58" t="s">
        <v>161</v>
      </c>
      <c r="G58">
        <v>54.09</v>
      </c>
      <c r="H58" s="1"/>
      <c r="K58">
        <v>0</v>
      </c>
      <c r="L58" s="2"/>
      <c r="M58" s="3" t="s">
        <v>162</v>
      </c>
      <c r="N58" t="str">
        <f t="shared" si="0"/>
        <v>NO ENVIAR</v>
      </c>
    </row>
    <row r="59" spans="1:14" x14ac:dyDescent="0.35">
      <c r="A59">
        <f t="shared" si="1"/>
        <v>58</v>
      </c>
      <c r="B59" t="s">
        <v>135</v>
      </c>
      <c r="C59" s="8" t="s">
        <v>265</v>
      </c>
      <c r="D59" t="s">
        <v>122</v>
      </c>
      <c r="E59" t="s">
        <v>163</v>
      </c>
      <c r="F59" t="s">
        <v>161</v>
      </c>
      <c r="G59">
        <v>54.09</v>
      </c>
      <c r="H59" s="1"/>
      <c r="K59">
        <v>0</v>
      </c>
      <c r="L59" s="2"/>
      <c r="M59" s="3" t="s">
        <v>162</v>
      </c>
      <c r="N59" t="str">
        <f t="shared" si="0"/>
        <v>NO ENVIAR</v>
      </c>
    </row>
    <row r="60" spans="1:14" x14ac:dyDescent="0.35">
      <c r="A60">
        <f t="shared" si="1"/>
        <v>59</v>
      </c>
      <c r="B60" t="s">
        <v>12</v>
      </c>
      <c r="C60" s="8" t="s">
        <v>266</v>
      </c>
      <c r="D60" t="s">
        <v>122</v>
      </c>
      <c r="E60" t="s">
        <v>153</v>
      </c>
      <c r="F60" t="s">
        <v>164</v>
      </c>
      <c r="G60">
        <v>21.81</v>
      </c>
      <c r="H60" s="1"/>
      <c r="K60">
        <v>0</v>
      </c>
      <c r="L60" s="2"/>
      <c r="M60" s="3" t="s">
        <v>165</v>
      </c>
      <c r="N60" t="str">
        <f t="shared" si="0"/>
        <v>NO ENVIAR</v>
      </c>
    </row>
    <row r="61" spans="1:14" x14ac:dyDescent="0.35">
      <c r="A61">
        <f t="shared" si="1"/>
        <v>60</v>
      </c>
      <c r="C61" s="8" t="s">
        <v>287</v>
      </c>
      <c r="D61" t="s">
        <v>122</v>
      </c>
      <c r="E61" t="s">
        <v>166</v>
      </c>
      <c r="H61" s="1"/>
      <c r="K61">
        <v>0</v>
      </c>
      <c r="L61" s="2"/>
      <c r="M61" t="s">
        <v>47</v>
      </c>
      <c r="N61" t="str">
        <f t="shared" si="0"/>
        <v>NO ENVIAR</v>
      </c>
    </row>
    <row r="62" spans="1:14" x14ac:dyDescent="0.35">
      <c r="A62">
        <f t="shared" si="1"/>
        <v>61</v>
      </c>
      <c r="B62" t="s">
        <v>12</v>
      </c>
      <c r="C62" s="8" t="s">
        <v>267</v>
      </c>
      <c r="D62" t="s">
        <v>122</v>
      </c>
      <c r="E62" t="s">
        <v>129</v>
      </c>
      <c r="F62" t="s">
        <v>143</v>
      </c>
      <c r="G62">
        <v>10</v>
      </c>
      <c r="H62" s="1"/>
      <c r="K62">
        <v>0</v>
      </c>
      <c r="L62" s="2"/>
      <c r="M62" s="3" t="s">
        <v>167</v>
      </c>
      <c r="N62" t="str">
        <f t="shared" si="0"/>
        <v>NO ENVIAR</v>
      </c>
    </row>
    <row r="63" spans="1:14" x14ac:dyDescent="0.35">
      <c r="A63">
        <f t="shared" si="1"/>
        <v>62</v>
      </c>
      <c r="B63" t="s">
        <v>12</v>
      </c>
      <c r="C63" s="8" t="s">
        <v>268</v>
      </c>
      <c r="D63" t="s">
        <v>168</v>
      </c>
      <c r="E63" t="s">
        <v>14</v>
      </c>
      <c r="F63" t="s">
        <v>169</v>
      </c>
      <c r="G63">
        <v>92.98</v>
      </c>
      <c r="H63" s="1"/>
      <c r="K63">
        <v>0</v>
      </c>
      <c r="L63" s="2"/>
      <c r="M63" s="3" t="s">
        <v>170</v>
      </c>
      <c r="N63" t="str">
        <f t="shared" si="0"/>
        <v>NO ENVIAR</v>
      </c>
    </row>
    <row r="64" spans="1:14" x14ac:dyDescent="0.35">
      <c r="A64">
        <f t="shared" si="1"/>
        <v>63</v>
      </c>
      <c r="B64" t="s">
        <v>12</v>
      </c>
      <c r="C64" s="9" t="s">
        <v>269</v>
      </c>
      <c r="D64" t="s">
        <v>171</v>
      </c>
      <c r="E64" t="s">
        <v>172</v>
      </c>
      <c r="F64" t="s">
        <v>173</v>
      </c>
      <c r="G64">
        <v>17.32</v>
      </c>
      <c r="H64" s="1"/>
      <c r="K64">
        <v>0</v>
      </c>
      <c r="L64" s="2"/>
      <c r="M64" s="3" t="s">
        <v>174</v>
      </c>
      <c r="N64" t="str">
        <f t="shared" si="0"/>
        <v>NO ENVIAR</v>
      </c>
    </row>
    <row r="65" spans="1:14" x14ac:dyDescent="0.35">
      <c r="A65">
        <f t="shared" si="1"/>
        <v>64</v>
      </c>
      <c r="B65" t="s">
        <v>12</v>
      </c>
      <c r="C65" s="9" t="s">
        <v>270</v>
      </c>
      <c r="D65" t="s">
        <v>171</v>
      </c>
      <c r="E65" t="s">
        <v>175</v>
      </c>
      <c r="F65" t="s">
        <v>173</v>
      </c>
      <c r="G65">
        <v>30.81</v>
      </c>
      <c r="H65" s="1"/>
      <c r="K65">
        <v>0</v>
      </c>
      <c r="L65" s="2"/>
      <c r="M65" s="3" t="s">
        <v>174</v>
      </c>
      <c r="N65" t="str">
        <f t="shared" si="0"/>
        <v>NO ENVIAR</v>
      </c>
    </row>
    <row r="66" spans="1:14" x14ac:dyDescent="0.35">
      <c r="A66">
        <f t="shared" si="1"/>
        <v>65</v>
      </c>
      <c r="B66" t="s">
        <v>12</v>
      </c>
      <c r="C66" s="9" t="s">
        <v>271</v>
      </c>
      <c r="D66" t="s">
        <v>171</v>
      </c>
      <c r="E66" t="s">
        <v>172</v>
      </c>
      <c r="F66" t="s">
        <v>176</v>
      </c>
      <c r="G66">
        <v>20.9</v>
      </c>
      <c r="H66" s="1"/>
      <c r="K66">
        <v>0</v>
      </c>
      <c r="L66" s="2"/>
      <c r="M66" s="3" t="s">
        <v>177</v>
      </c>
      <c r="N66" t="str">
        <f t="shared" si="0"/>
        <v>NO ENVIAR</v>
      </c>
    </row>
    <row r="67" spans="1:14" x14ac:dyDescent="0.35">
      <c r="A67">
        <f t="shared" si="1"/>
        <v>66</v>
      </c>
      <c r="B67" t="s">
        <v>29</v>
      </c>
      <c r="C67" s="9" t="s">
        <v>272</v>
      </c>
      <c r="D67" t="s">
        <v>171</v>
      </c>
      <c r="E67" t="s">
        <v>178</v>
      </c>
      <c r="F67" t="s">
        <v>179</v>
      </c>
      <c r="G67">
        <v>13.37</v>
      </c>
      <c r="H67" s="1"/>
      <c r="K67">
        <v>0</v>
      </c>
      <c r="L67" s="2"/>
      <c r="M67" s="3" t="s">
        <v>180</v>
      </c>
      <c r="N67" t="str">
        <f t="shared" ref="N67:N78" si="2">IF(K67&gt;0,"ENVIAR","NO ENVIAR")</f>
        <v>NO ENVIAR</v>
      </c>
    </row>
    <row r="68" spans="1:14" x14ac:dyDescent="0.35">
      <c r="A68">
        <f t="shared" ref="A68:A78" si="3">+A67+1</f>
        <v>67</v>
      </c>
      <c r="B68" t="s">
        <v>12</v>
      </c>
      <c r="C68" s="9" t="s">
        <v>273</v>
      </c>
      <c r="D68" t="s">
        <v>181</v>
      </c>
      <c r="E68" t="s">
        <v>182</v>
      </c>
      <c r="F68" t="s">
        <v>183</v>
      </c>
      <c r="G68">
        <v>71.38</v>
      </c>
      <c r="H68" s="1"/>
      <c r="K68">
        <v>0</v>
      </c>
      <c r="L68" s="2"/>
      <c r="M68" s="3" t="s">
        <v>184</v>
      </c>
      <c r="N68" t="str">
        <f t="shared" si="2"/>
        <v>NO ENVIAR</v>
      </c>
    </row>
    <row r="69" spans="1:14" x14ac:dyDescent="0.35">
      <c r="A69">
        <f t="shared" si="3"/>
        <v>68</v>
      </c>
      <c r="B69" t="s">
        <v>12</v>
      </c>
      <c r="C69" s="9" t="s">
        <v>274</v>
      </c>
      <c r="D69" t="s">
        <v>181</v>
      </c>
      <c r="E69" t="s">
        <v>185</v>
      </c>
      <c r="F69" t="s">
        <v>183</v>
      </c>
      <c r="G69">
        <v>4.46</v>
      </c>
      <c r="H69" s="1"/>
      <c r="K69">
        <v>0</v>
      </c>
      <c r="L69" s="2"/>
      <c r="M69" s="3" t="s">
        <v>184</v>
      </c>
      <c r="N69" t="str">
        <f t="shared" si="2"/>
        <v>NO ENVIAR</v>
      </c>
    </row>
    <row r="70" spans="1:14" x14ac:dyDescent="0.35">
      <c r="A70">
        <f t="shared" si="3"/>
        <v>69</v>
      </c>
      <c r="B70" t="s">
        <v>12</v>
      </c>
      <c r="C70" s="9" t="s">
        <v>275</v>
      </c>
      <c r="D70" t="s">
        <v>181</v>
      </c>
      <c r="E70" t="s">
        <v>164</v>
      </c>
      <c r="F70" t="s">
        <v>186</v>
      </c>
      <c r="G70">
        <v>20</v>
      </c>
      <c r="H70" s="1"/>
      <c r="K70">
        <v>0</v>
      </c>
      <c r="L70" s="2"/>
      <c r="M70" s="3" t="s">
        <v>184</v>
      </c>
      <c r="N70" t="str">
        <f t="shared" si="2"/>
        <v>NO ENVIAR</v>
      </c>
    </row>
    <row r="71" spans="1:14" x14ac:dyDescent="0.35">
      <c r="A71">
        <f t="shared" si="3"/>
        <v>70</v>
      </c>
      <c r="B71" t="s">
        <v>12</v>
      </c>
      <c r="C71" s="9" t="s">
        <v>276</v>
      </c>
      <c r="D71" t="s">
        <v>181</v>
      </c>
      <c r="E71" t="s">
        <v>187</v>
      </c>
      <c r="F71" t="s">
        <v>188</v>
      </c>
      <c r="G71">
        <v>30</v>
      </c>
      <c r="H71" s="1"/>
      <c r="K71">
        <v>0</v>
      </c>
      <c r="L71" s="2"/>
      <c r="M71" s="3" t="s">
        <v>189</v>
      </c>
      <c r="N71" t="str">
        <f t="shared" si="2"/>
        <v>NO ENVIAR</v>
      </c>
    </row>
    <row r="72" spans="1:14" x14ac:dyDescent="0.35">
      <c r="A72">
        <f t="shared" si="3"/>
        <v>71</v>
      </c>
      <c r="B72" t="s">
        <v>12</v>
      </c>
      <c r="C72" s="9" t="s">
        <v>277</v>
      </c>
      <c r="D72" t="s">
        <v>190</v>
      </c>
      <c r="E72" t="s">
        <v>14</v>
      </c>
      <c r="F72" t="s">
        <v>191</v>
      </c>
      <c r="G72">
        <v>100.82</v>
      </c>
      <c r="H72" s="1"/>
      <c r="K72">
        <v>0</v>
      </c>
      <c r="L72" s="2"/>
      <c r="M72" s="3" t="s">
        <v>192</v>
      </c>
      <c r="N72" t="str">
        <f t="shared" si="2"/>
        <v>NO ENVIAR</v>
      </c>
    </row>
    <row r="73" spans="1:14" x14ac:dyDescent="0.35">
      <c r="A73">
        <f t="shared" si="3"/>
        <v>72</v>
      </c>
      <c r="B73" t="s">
        <v>12</v>
      </c>
      <c r="C73" s="9" t="s">
        <v>278</v>
      </c>
      <c r="D73" t="s">
        <v>193</v>
      </c>
      <c r="E73" t="s">
        <v>14</v>
      </c>
      <c r="F73" t="s">
        <v>194</v>
      </c>
      <c r="G73">
        <v>365.78</v>
      </c>
      <c r="H73" s="1"/>
      <c r="K73">
        <v>0</v>
      </c>
      <c r="L73" s="2"/>
      <c r="M73" s="3" t="s">
        <v>195</v>
      </c>
      <c r="N73" t="str">
        <f t="shared" si="2"/>
        <v>NO ENVIAR</v>
      </c>
    </row>
    <row r="74" spans="1:14" x14ac:dyDescent="0.35">
      <c r="A74">
        <f t="shared" si="3"/>
        <v>73</v>
      </c>
      <c r="B74" t="s">
        <v>12</v>
      </c>
      <c r="C74" s="9" t="s">
        <v>279</v>
      </c>
      <c r="D74" t="s">
        <v>196</v>
      </c>
      <c r="E74" t="s">
        <v>14</v>
      </c>
      <c r="F74" t="s">
        <v>194</v>
      </c>
      <c r="G74">
        <v>179.16</v>
      </c>
      <c r="H74" s="1"/>
      <c r="K74">
        <v>4</v>
      </c>
      <c r="L74" s="2"/>
      <c r="M74" s="3" t="s">
        <v>195</v>
      </c>
      <c r="N74" t="str">
        <f t="shared" si="2"/>
        <v>ENVIAR</v>
      </c>
    </row>
    <row r="75" spans="1:14" x14ac:dyDescent="0.35">
      <c r="A75">
        <f t="shared" si="3"/>
        <v>74</v>
      </c>
      <c r="B75" t="s">
        <v>12</v>
      </c>
      <c r="C75" s="9" t="s">
        <v>280</v>
      </c>
      <c r="D75" t="s">
        <v>197</v>
      </c>
      <c r="E75" t="s">
        <v>14</v>
      </c>
      <c r="F75" t="s">
        <v>198</v>
      </c>
      <c r="G75">
        <v>167.48</v>
      </c>
      <c r="H75" s="1"/>
      <c r="K75">
        <v>0</v>
      </c>
      <c r="L75" s="2"/>
      <c r="M75" s="3" t="s">
        <v>199</v>
      </c>
      <c r="N75" t="str">
        <f t="shared" si="2"/>
        <v>NO ENVIAR</v>
      </c>
    </row>
    <row r="76" spans="1:14" x14ac:dyDescent="0.35">
      <c r="A76">
        <f t="shared" si="3"/>
        <v>75</v>
      </c>
      <c r="B76" t="s">
        <v>12</v>
      </c>
      <c r="C76" s="9" t="s">
        <v>281</v>
      </c>
      <c r="D76" t="s">
        <v>200</v>
      </c>
      <c r="E76" t="s">
        <v>201</v>
      </c>
      <c r="F76" t="s">
        <v>202</v>
      </c>
      <c r="G76">
        <v>21.89</v>
      </c>
      <c r="H76" s="1"/>
      <c r="K76">
        <v>0</v>
      </c>
      <c r="L76" s="2"/>
      <c r="M76" s="3" t="s">
        <v>203</v>
      </c>
      <c r="N76" t="str">
        <f t="shared" si="2"/>
        <v>NO ENVIAR</v>
      </c>
    </row>
    <row r="77" spans="1:14" x14ac:dyDescent="0.35">
      <c r="A77">
        <f t="shared" si="3"/>
        <v>76</v>
      </c>
      <c r="B77" t="s">
        <v>12</v>
      </c>
      <c r="C77" s="9" t="s">
        <v>282</v>
      </c>
      <c r="D77" t="s">
        <v>200</v>
      </c>
      <c r="E77" t="s">
        <v>204</v>
      </c>
      <c r="F77" t="s">
        <v>205</v>
      </c>
      <c r="G77">
        <v>12.01</v>
      </c>
      <c r="H77" s="1"/>
      <c r="K77">
        <v>0</v>
      </c>
      <c r="L77" s="2"/>
      <c r="M77" s="3" t="s">
        <v>206</v>
      </c>
      <c r="N77" t="str">
        <f t="shared" si="2"/>
        <v>NO ENVIAR</v>
      </c>
    </row>
    <row r="78" spans="1:14" x14ac:dyDescent="0.35">
      <c r="A78">
        <f t="shared" si="3"/>
        <v>77</v>
      </c>
      <c r="B78" t="s">
        <v>12</v>
      </c>
      <c r="C78" s="9" t="s">
        <v>283</v>
      </c>
      <c r="D78" t="s">
        <v>207</v>
      </c>
      <c r="E78" t="s">
        <v>14</v>
      </c>
      <c r="F78" t="s">
        <v>208</v>
      </c>
      <c r="G78">
        <v>172.55</v>
      </c>
      <c r="H78" s="1"/>
      <c r="K78">
        <v>0</v>
      </c>
      <c r="L78" s="2"/>
      <c r="M78" s="3" t="s">
        <v>209</v>
      </c>
      <c r="N78" t="str">
        <f t="shared" si="2"/>
        <v>NO ENVIAR</v>
      </c>
    </row>
  </sheetData>
  <autoFilter ref="A1:N78" xr:uid="{B5461787-7FE5-49E7-8898-5C1A50DE6AFB}"/>
  <conditionalFormatting sqref="A2:B78 D2:N78">
    <cfRule type="expression" dxfId="3" priority="3">
      <formula>$N2="ENVIAR"</formula>
    </cfRule>
    <cfRule type="expression" dxfId="2" priority="4">
      <formula>$N2="NO ENVIAR"</formula>
    </cfRule>
  </conditionalFormatting>
  <conditionalFormatting sqref="C2:C78">
    <cfRule type="expression" dxfId="1" priority="1">
      <formula>$J2="AL DIA"</formula>
    </cfRule>
    <cfRule type="expression" dxfId="0" priority="2">
      <formula>$J2="CORTE EN TRAMITE"</formula>
    </cfRule>
  </conditionalFormatting>
  <hyperlinks>
    <hyperlink ref="M49" r:id="rId1" xr:uid="{8FD0349A-5B60-4CD4-A0DE-31C42F7DEC51}"/>
    <hyperlink ref="M72" r:id="rId2" xr:uid="{26841482-FB43-4A6C-91E7-06226DD336D9}"/>
    <hyperlink ref="M64" r:id="rId3" xr:uid="{A95AFE96-AFD5-4508-A6D9-C47CD0E315AD}"/>
    <hyperlink ref="M26" r:id="rId4" xr:uid="{F3D125C9-B47B-43EC-8566-AF98F86569D3}"/>
    <hyperlink ref="M44" r:id="rId5" xr:uid="{9A56F920-D1BB-41F1-B213-F90E194D5191}"/>
    <hyperlink ref="M3" r:id="rId6" xr:uid="{79BF2225-8443-40BE-B685-6AA741B4C988}"/>
    <hyperlink ref="M5" r:id="rId7" xr:uid="{EB73FA52-0188-45D6-8A19-A2870E49D6E5}"/>
    <hyperlink ref="M6" r:id="rId8" xr:uid="{357203B2-76A9-470E-9429-8333209D82BF}"/>
    <hyperlink ref="M7" r:id="rId9" xr:uid="{62FC3129-D0B0-4AC8-AE01-7FD9A28215EE}"/>
    <hyperlink ref="M8" r:id="rId10" xr:uid="{AECCC35C-49A7-4168-91F1-00E4A3CD4EF8}"/>
    <hyperlink ref="M9" r:id="rId11" xr:uid="{F6CBCE8B-B04D-4646-9C23-FA47207516C3}"/>
    <hyperlink ref="M10" r:id="rId12" xr:uid="{D9ECFE35-CD97-498C-90B1-94C52263C0B5}"/>
    <hyperlink ref="M18" r:id="rId13" xr:uid="{EF556032-0745-4E1B-B658-64364CBFED83}"/>
    <hyperlink ref="M11" r:id="rId14" xr:uid="{1469D0B7-56B2-47BB-93B2-56F3221EEF07}"/>
    <hyperlink ref="M19" r:id="rId15" xr:uid="{3CCF4963-05EE-41C5-BD23-07A28BB29AC5}"/>
    <hyperlink ref="M20" r:id="rId16" xr:uid="{1B1B8517-F325-4379-94C6-8D097EDBD6AF}"/>
    <hyperlink ref="M21" r:id="rId17" xr:uid="{51AAD3D5-8823-40C9-B436-1F35A9512B9E}"/>
    <hyperlink ref="M23" r:id="rId18" xr:uid="{C784B6EF-0D69-4A7E-9C5D-CCA66E40BD7C}"/>
    <hyperlink ref="M24" r:id="rId19" xr:uid="{6ACD419A-12D7-41D5-85A1-264ADFD8CB0A}"/>
    <hyperlink ref="M25" r:id="rId20" xr:uid="{707FF52B-8241-4A9D-A636-70602C18308D}"/>
    <hyperlink ref="M28" r:id="rId21" xr:uid="{5BBF4DEC-A945-4E44-A965-5F04CCF86AA2}"/>
    <hyperlink ref="M30" r:id="rId22" xr:uid="{A69D01F4-7025-41DD-B26D-A135E6DEFA1C}"/>
    <hyperlink ref="M32" r:id="rId23" xr:uid="{8D9117D8-6A57-487B-BDD0-CDE4666527CC}"/>
    <hyperlink ref="M33" r:id="rId24" xr:uid="{7CB73FD4-06FF-45CF-AD15-CA271FC0A7C9}"/>
    <hyperlink ref="M39" r:id="rId25" xr:uid="{05F878D1-3361-406D-8A8F-B2F6FF308E38}"/>
    <hyperlink ref="M40" r:id="rId26" xr:uid="{D68DE940-5CAE-49F5-BC3C-36146F595996}"/>
    <hyperlink ref="M42" r:id="rId27" xr:uid="{F1A9A89C-71DD-498F-B280-AE1808672A74}"/>
    <hyperlink ref="M46" r:id="rId28" xr:uid="{D1AFE460-9CAA-47E5-8090-DD13A06A7153}"/>
    <hyperlink ref="M51" r:id="rId29" xr:uid="{47008884-5A84-458A-99BF-C9927A668389}"/>
    <hyperlink ref="M52" r:id="rId30" xr:uid="{E6218BE9-CBC0-4F6D-B08C-B4E086B1016F}"/>
    <hyperlink ref="M55" r:id="rId31" xr:uid="{038C59ED-616D-4CC4-8B01-610A344345BF}"/>
    <hyperlink ref="M56" r:id="rId32" xr:uid="{1A968469-D37E-4D23-9B38-A8948598619B}"/>
    <hyperlink ref="M62" r:id="rId33" xr:uid="{464CB62A-DAC0-4725-9479-64644C4CE079}"/>
    <hyperlink ref="M63" r:id="rId34" xr:uid="{1DD8A16D-23BD-4BC4-86C9-E7824F349112}"/>
    <hyperlink ref="M66" r:id="rId35" xr:uid="{5BE1F629-92CC-48D5-B984-41CD78478747}"/>
    <hyperlink ref="M67" r:id="rId36" xr:uid="{B1E813F5-4BF2-421D-891F-313B2EA2158D}"/>
    <hyperlink ref="M68" r:id="rId37" xr:uid="{7C574B3D-5389-4A52-AE27-291F3AD6CF83}"/>
    <hyperlink ref="M69" r:id="rId38" xr:uid="{227C6EA5-35FA-4C12-8774-1B253B7A6721}"/>
    <hyperlink ref="M70" r:id="rId39" xr:uid="{F22B42ED-9265-497E-883A-E6E88CCA7CE5}"/>
    <hyperlink ref="M73" r:id="rId40" xr:uid="{6FFC85D0-1003-4D8D-A4C6-1BE3C7E39198}"/>
    <hyperlink ref="M74" r:id="rId41" xr:uid="{627B7655-D6A1-453C-BCC8-562FFE3B6600}"/>
    <hyperlink ref="M75" r:id="rId42" xr:uid="{D0DBA39A-9C5B-4BE0-A371-5BA0A7572F5B}"/>
    <hyperlink ref="M77" r:id="rId43" xr:uid="{9E6B4716-C9B7-473A-98D2-BCC305CBB699}"/>
    <hyperlink ref="M13" r:id="rId44" xr:uid="{DF1AF20B-EBCE-4847-9173-79E4EE88B44D}"/>
    <hyperlink ref="M14" r:id="rId45" xr:uid="{322A2AC8-68A7-43C7-805A-3E1F41ED3FE8}"/>
    <hyperlink ref="M27" r:id="rId46" xr:uid="{1DF0C369-C9E0-4966-A437-A5A445CC6C6A}"/>
    <hyperlink ref="M31" r:id="rId47" xr:uid="{613D66FB-7408-4917-8E6F-7CD820F9C46C}"/>
    <hyperlink ref="M35" r:id="rId48" xr:uid="{6B1E6820-5E1B-4336-98B1-17C8CAA22BB8}"/>
    <hyperlink ref="M41" r:id="rId49" xr:uid="{029A6704-DDD5-4D43-8E17-33CE248156A3}"/>
    <hyperlink ref="M43" r:id="rId50" xr:uid="{3D69704B-6434-424E-98DC-E8F0C1645C35}"/>
    <hyperlink ref="M45" r:id="rId51" xr:uid="{811D81DE-DD77-4253-8D50-10419D7714C2}"/>
    <hyperlink ref="M54" r:id="rId52" xr:uid="{F81CE950-D94C-4C8C-A9A3-60CBB17F75DB}"/>
    <hyperlink ref="M65" r:id="rId53" xr:uid="{A8ACA5F8-9BB6-4274-B8F5-5DE105526A7C}"/>
    <hyperlink ref="M58" r:id="rId54" xr:uid="{F4885EA4-F9C0-469C-BD32-FDA793834559}"/>
    <hyperlink ref="M59" r:id="rId55" xr:uid="{CB1393AF-6803-4053-98E9-1288923E3B1C}"/>
    <hyperlink ref="M60" r:id="rId56" xr:uid="{2BC73F02-9DB1-4091-83A0-3C6B1632C13A}"/>
    <hyperlink ref="M71" r:id="rId57" xr:uid="{1347B9B4-8070-40FD-AEEC-0A87914438C6}"/>
    <hyperlink ref="M76" r:id="rId58" xr:uid="{598DCBFC-DF53-4866-862C-51AC3D407D50}"/>
    <hyperlink ref="M2" r:id="rId59" xr:uid="{CB8D40DB-A328-4532-99C6-FBD9D68F917B}"/>
    <hyperlink ref="M4" r:id="rId60" xr:uid="{B0C174CE-90E5-437D-9E80-E0282AF84F6C}"/>
    <hyperlink ref="M47" r:id="rId61" display="mailto:produccion2@hortitec.cl" xr:uid="{835E6530-284D-4704-AF0D-471F25045A8B}"/>
    <hyperlink ref="M36" r:id="rId62" xr:uid="{BE93A63E-7264-454C-9859-F8EBB2AB800A}"/>
    <hyperlink ref="M22" r:id="rId63" xr:uid="{8FC4A95B-3431-497C-B70C-970E29801E64}"/>
    <hyperlink ref="M38" r:id="rId64" xr:uid="{F867D2B2-9CA8-49CE-8846-08195FD1FC65}"/>
    <hyperlink ref="M29" r:id="rId65" xr:uid="{6ECBB22E-66BE-4B23-A985-CE356706506A}"/>
    <hyperlink ref="M78" r:id="rId66" xr:uid="{113CF12A-DE57-4BCC-BCFA-3B4522B75BE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Paulina Muñoz</dc:creator>
  <cp:lastModifiedBy>Sofia Aguilera Guerrero</cp:lastModifiedBy>
  <dcterms:created xsi:type="dcterms:W3CDTF">2025-09-08T13:03:19Z</dcterms:created>
  <dcterms:modified xsi:type="dcterms:W3CDTF">2025-11-07T02:11:34Z</dcterms:modified>
</cp:coreProperties>
</file>