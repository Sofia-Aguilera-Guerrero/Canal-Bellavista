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os\"/>
    </mc:Choice>
  </mc:AlternateContent>
  <xr:revisionPtr revIDLastSave="0" documentId="13_ncr:1_{D7AB66C7-238B-48AF-8EDA-14F70A939BC4}" xr6:coauthVersionLast="47" xr6:coauthVersionMax="47" xr10:uidLastSave="{00000000-0000-0000-0000-000000000000}"/>
  <bookViews>
    <workbookView xWindow="-110" yWindow="-110" windowWidth="19420" windowHeight="10300" activeTab="3" xr2:uid="{AF735123-F1E2-456E-A518-764CEB8673BC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4" l="1"/>
  <c r="E45" i="4"/>
  <c r="E79" i="4" s="1"/>
  <c r="E30" i="4"/>
  <c r="I63" i="4"/>
  <c r="I50" i="4"/>
  <c r="L16" i="3"/>
  <c r="M16" i="3"/>
  <c r="G40" i="3"/>
  <c r="E40" i="3"/>
  <c r="E39" i="3"/>
  <c r="E38" i="3"/>
  <c r="E37" i="3"/>
  <c r="E36" i="3"/>
  <c r="E35" i="3"/>
  <c r="E34" i="3"/>
  <c r="E27" i="3"/>
  <c r="G33" i="3"/>
  <c r="E76" i="4"/>
  <c r="E61" i="4"/>
  <c r="E57" i="4"/>
  <c r="G26" i="3"/>
  <c r="L15" i="3" l="1"/>
  <c r="E33" i="3"/>
  <c r="E32" i="3"/>
  <c r="E31" i="3"/>
  <c r="E30" i="3"/>
  <c r="E29" i="3"/>
  <c r="E28" i="3"/>
  <c r="M10" i="3"/>
  <c r="M11" i="3"/>
  <c r="M12" i="3"/>
  <c r="M13" i="3"/>
  <c r="M14" i="3"/>
  <c r="M9" i="3"/>
  <c r="G23" i="3"/>
  <c r="G21" i="3"/>
  <c r="G15" i="3"/>
  <c r="G11" i="3"/>
  <c r="G9" i="3"/>
  <c r="Q28" i="4"/>
  <c r="Q27" i="4"/>
  <c r="Q26" i="4"/>
  <c r="K9" i="4"/>
  <c r="K8" i="4"/>
  <c r="K7" i="4"/>
  <c r="K5" i="4"/>
  <c r="K46" i="4"/>
  <c r="K9" i="5"/>
  <c r="I10" i="5"/>
  <c r="I9" i="5"/>
  <c r="I8" i="5"/>
  <c r="I7" i="5"/>
  <c r="D19" i="5"/>
  <c r="D18" i="5"/>
  <c r="D17" i="5"/>
  <c r="D16" i="5"/>
  <c r="D10" i="5"/>
  <c r="D11" i="5"/>
  <c r="H12" i="5"/>
  <c r="H11" i="5"/>
  <c r="G9" i="5"/>
  <c r="J9" i="5" s="1"/>
  <c r="G8" i="5"/>
  <c r="H8" i="5" s="1"/>
  <c r="H6" i="5"/>
  <c r="F6" i="5"/>
  <c r="J17" i="5"/>
  <c r="H7" i="5"/>
  <c r="F7" i="5"/>
  <c r="F9" i="5"/>
  <c r="F8" i="5"/>
  <c r="K38" i="4"/>
  <c r="K36" i="4"/>
  <c r="M15" i="3" l="1"/>
  <c r="Q29" i="4"/>
  <c r="K45" i="4"/>
  <c r="H9" i="5"/>
  <c r="H10" i="5" s="1"/>
  <c r="J8" i="5"/>
  <c r="K8" i="5" s="1"/>
  <c r="M8" i="5" s="1"/>
  <c r="M9" i="5"/>
  <c r="K6" i="4"/>
  <c r="D117" i="1"/>
  <c r="D116" i="1"/>
  <c r="J114" i="1"/>
  <c r="J113" i="1"/>
  <c r="J112" i="1"/>
  <c r="J83" i="1"/>
  <c r="J72" i="1"/>
  <c r="J73" i="1"/>
  <c r="L51" i="1"/>
  <c r="L54" i="1"/>
  <c r="L47" i="1"/>
  <c r="L48" i="1"/>
  <c r="L49" i="1"/>
  <c r="L50" i="1"/>
  <c r="L46" i="1"/>
  <c r="F31" i="4" l="1"/>
  <c r="K10" i="5"/>
  <c r="K11" i="5" s="1"/>
  <c r="K12" i="5" s="1"/>
  <c r="D53" i="1"/>
  <c r="J49" i="1" l="1"/>
  <c r="J48" i="1"/>
  <c r="J46" i="1"/>
  <c r="J45" i="1"/>
  <c r="J51" i="1"/>
  <c r="J71" i="1"/>
  <c r="J62" i="1"/>
  <c r="J70" i="1"/>
  <c r="J63" i="1"/>
  <c r="N21" i="1" l="1"/>
  <c r="L21" i="1"/>
  <c r="K21" i="1"/>
  <c r="J21" i="1"/>
  <c r="M21" i="1"/>
  <c r="D22" i="1"/>
  <c r="N20" i="1"/>
  <c r="L20" i="1"/>
  <c r="K20" i="1"/>
  <c r="J20" i="1"/>
  <c r="M20" i="1" s="1"/>
  <c r="J12" i="1"/>
  <c r="N5" i="1"/>
  <c r="M5" i="1"/>
  <c r="K5" i="1"/>
  <c r="J5" i="1"/>
  <c r="L5" i="1" s="1"/>
  <c r="D29" i="1"/>
  <c r="P30" i="1"/>
  <c r="M28" i="1"/>
  <c r="L28" i="1"/>
  <c r="K28" i="1"/>
  <c r="N27" i="1"/>
  <c r="L27" i="1"/>
  <c r="K27" i="1"/>
  <c r="N19" i="1"/>
  <c r="L19" i="1"/>
  <c r="K19" i="1"/>
  <c r="N18" i="1"/>
  <c r="L18" i="1"/>
  <c r="K18" i="1"/>
  <c r="N17" i="1"/>
  <c r="M17" i="1"/>
  <c r="L17" i="1"/>
  <c r="M11" i="1"/>
  <c r="L11" i="1"/>
  <c r="K11" i="1"/>
  <c r="M10" i="1"/>
  <c r="L10" i="1"/>
  <c r="K10" i="1"/>
  <c r="M9" i="1"/>
  <c r="L9" i="1"/>
  <c r="K9" i="1"/>
  <c r="N8" i="1"/>
  <c r="L8" i="1"/>
  <c r="K8" i="1"/>
  <c r="N7" i="1"/>
  <c r="M7" i="1"/>
  <c r="K7" i="1"/>
  <c r="N6" i="1"/>
  <c r="M6" i="1"/>
  <c r="L6" i="1"/>
  <c r="J28" i="1"/>
  <c r="N28" i="1" s="1"/>
  <c r="J27" i="1"/>
  <c r="M27" i="1"/>
  <c r="J19" i="1"/>
  <c r="M19" i="1" s="1"/>
  <c r="J18" i="1"/>
  <c r="M18" i="1" s="1"/>
  <c r="J17" i="1"/>
  <c r="K17" i="1" s="1"/>
  <c r="J11" i="1"/>
  <c r="N11" i="1" s="1"/>
  <c r="J10" i="1"/>
  <c r="N10" i="1"/>
  <c r="J9" i="1"/>
  <c r="N9" i="1"/>
  <c r="J8" i="1"/>
  <c r="M8" i="1" s="1"/>
  <c r="J7" i="1"/>
  <c r="L7" i="1"/>
  <c r="J6" i="1"/>
  <c r="K6" i="1" s="1"/>
  <c r="D13" i="1"/>
  <c r="D54" i="1"/>
  <c r="J30" i="1" l="1"/>
  <c r="J33" i="1" s="1"/>
  <c r="J34" i="1" s="1"/>
  <c r="J35" i="1" s="1"/>
  <c r="L30" i="1"/>
  <c r="L33" i="1" s="1"/>
  <c r="L34" i="1" s="1"/>
  <c r="L35" i="1" s="1"/>
  <c r="K30" i="1"/>
  <c r="K33" i="1" s="1"/>
  <c r="K34" i="1" s="1"/>
  <c r="K35" i="1" s="1"/>
  <c r="M30" i="1"/>
  <c r="M31" i="1" s="1"/>
  <c r="N30" i="1"/>
  <c r="N33" i="1" s="1"/>
  <c r="N34" i="1" s="1"/>
  <c r="N35" i="1" s="1"/>
  <c r="K31" i="1"/>
  <c r="N31" i="1" l="1"/>
  <c r="M33" i="1"/>
  <c r="M34" i="1" s="1"/>
  <c r="M35" i="1" s="1"/>
  <c r="L31" i="1"/>
</calcChain>
</file>

<file path=xl/sharedStrings.xml><?xml version="1.0" encoding="utf-8"?>
<sst xmlns="http://schemas.openxmlformats.org/spreadsheetml/2006/main" count="792" uniqueCount="341">
  <si>
    <t xml:space="preserve">Concurso </t>
  </si>
  <si>
    <t>Proyecto</t>
  </si>
  <si>
    <t>04-2019</t>
  </si>
  <si>
    <t>Monto UF</t>
  </si>
  <si>
    <t>06-2019</t>
  </si>
  <si>
    <t>08-2019</t>
  </si>
  <si>
    <t>19-2019</t>
  </si>
  <si>
    <t>Tuberia 200 m Hinojal</t>
  </si>
  <si>
    <t>28-2019</t>
  </si>
  <si>
    <t>29-2019</t>
  </si>
  <si>
    <t>Programa Obras Menores</t>
  </si>
  <si>
    <t>Programa Obras Medianas</t>
  </si>
  <si>
    <t>Tuberia Las Rojas 850 m</t>
  </si>
  <si>
    <t>51-2019</t>
  </si>
  <si>
    <t>52-2019</t>
  </si>
  <si>
    <t>Estanque Santa Ana</t>
  </si>
  <si>
    <t>53-2019</t>
  </si>
  <si>
    <t>Tuberia 200 m Hinojal o Las Rojas</t>
  </si>
  <si>
    <t>Santa Valentina</t>
  </si>
  <si>
    <t>Gepco</t>
  </si>
  <si>
    <t>L&amp;G</t>
  </si>
  <si>
    <t>AGROTEK</t>
  </si>
  <si>
    <t>J.Berenguela</t>
  </si>
  <si>
    <t>Fondos GORE</t>
  </si>
  <si>
    <t>101-2019</t>
  </si>
  <si>
    <t>Monardez</t>
  </si>
  <si>
    <t>R. Berrios</t>
  </si>
  <si>
    <t>Valentina</t>
  </si>
  <si>
    <t>Berrios</t>
  </si>
  <si>
    <t>Bono</t>
  </si>
  <si>
    <t>C. Proyecto</t>
  </si>
  <si>
    <t>Aportes Estudios</t>
  </si>
  <si>
    <t>Costo Proyecto</t>
  </si>
  <si>
    <t>Empresa</t>
  </si>
  <si>
    <t>Consultor</t>
  </si>
  <si>
    <t>PRESENTADO</t>
  </si>
  <si>
    <t>Fecha Apertura</t>
  </si>
  <si>
    <t>Condicion</t>
  </si>
  <si>
    <t>R. Schuster</t>
  </si>
  <si>
    <t>Acumulacion 1 (El Retiro)</t>
  </si>
  <si>
    <t>Acumulacion 2 (Sta. Filomena 2)</t>
  </si>
  <si>
    <t>Compuertas (Vista Bella)</t>
  </si>
  <si>
    <t>Proyecto El Carmen</t>
  </si>
  <si>
    <t>El Pino - Pampa La Serena</t>
  </si>
  <si>
    <t>NO LO PRESENTÓ</t>
  </si>
  <si>
    <t>PROGRAMADO</t>
  </si>
  <si>
    <t>BONIFICADO</t>
  </si>
  <si>
    <t>NO SELECCIONADO</t>
  </si>
  <si>
    <t>Manta Horm. 100 m Hinojal</t>
  </si>
  <si>
    <t>Rehabilitacion Estanques</t>
  </si>
  <si>
    <t>53-2018</t>
  </si>
  <si>
    <t>AGREGAR PROYECTOS A RESPOSTULAR</t>
  </si>
  <si>
    <t>VER NUEVOS CONCURSOS</t>
  </si>
  <si>
    <t>Tuberia Ruta 41 850 m</t>
  </si>
  <si>
    <t>31-2019</t>
  </si>
  <si>
    <t>Manta Horm. 400 m Arrayan</t>
  </si>
  <si>
    <t>?</t>
  </si>
  <si>
    <t>54-2019</t>
  </si>
  <si>
    <t>55-2019</t>
  </si>
  <si>
    <t>TOTAL INVERSION</t>
  </si>
  <si>
    <t>UF</t>
  </si>
  <si>
    <t>$</t>
  </si>
  <si>
    <t>PROYECTOS A CONSTRUIR 2020</t>
  </si>
  <si>
    <t>Proyecto Telemetria M Bellavista y Monardez</t>
  </si>
  <si>
    <t>Calendario 2020</t>
  </si>
  <si>
    <t>_01-2020</t>
  </si>
  <si>
    <t>_08-2020</t>
  </si>
  <si>
    <t>27-2020</t>
  </si>
  <si>
    <t>52-2020</t>
  </si>
  <si>
    <t>53-2020</t>
  </si>
  <si>
    <t>Rehabilitacion Estanques Cerrillos Nueva Vida</t>
  </si>
  <si>
    <t>CONSTRUIDO</t>
  </si>
  <si>
    <t>Marco CERES</t>
  </si>
  <si>
    <t>54-2020</t>
  </si>
  <si>
    <t>Estanque Ripamonti</t>
  </si>
  <si>
    <t>Entubamiento El Carmen</t>
  </si>
  <si>
    <t>Proyecto Telemetria</t>
  </si>
  <si>
    <t>SENR</t>
  </si>
  <si>
    <t>Costo / SUP</t>
  </si>
  <si>
    <t>Proyecto Conduccion Las Rojas -El Rosario</t>
  </si>
  <si>
    <t>Rehabilitacion Estanque Santa Ana</t>
  </si>
  <si>
    <t>CORFO</t>
  </si>
  <si>
    <t>INVIERNO DE 2021</t>
  </si>
  <si>
    <t>Tuberia Ruta 41 650 m</t>
  </si>
  <si>
    <t>851-2021</t>
  </si>
  <si>
    <t>NO BONIFICADO</t>
  </si>
  <si>
    <t>PROYECTO COMPUERTAS</t>
  </si>
  <si>
    <t>CARMEN II</t>
  </si>
  <si>
    <t>Acumulacion 2 (SANTA FILOMENA)</t>
  </si>
  <si>
    <t>RETIRADO</t>
  </si>
  <si>
    <t>CALENDARIO 2021</t>
  </si>
  <si>
    <t>16-2021</t>
  </si>
  <si>
    <t>19-2021</t>
  </si>
  <si>
    <t>ESTANQUE  RIPAMONTI 2 O EL PINO-PAMPA</t>
  </si>
  <si>
    <t>28-2021</t>
  </si>
  <si>
    <t>??</t>
  </si>
  <si>
    <t>29-2021</t>
  </si>
  <si>
    <t>51-2021</t>
  </si>
  <si>
    <t>52-2021</t>
  </si>
  <si>
    <t>53-2021</t>
  </si>
  <si>
    <t>CARMEN I</t>
  </si>
  <si>
    <t>CANO LTDA</t>
  </si>
  <si>
    <t>HABLAR CON RUBICON CONDICIONES COMERCIALES</t>
  </si>
  <si>
    <t>802-2020</t>
  </si>
  <si>
    <t>OCTUBRE NOVIEMBRE 2021</t>
  </si>
  <si>
    <t>???</t>
  </si>
  <si>
    <t>16-2020</t>
  </si>
  <si>
    <t>PROYECTO NUEVO</t>
  </si>
  <si>
    <t>CANALES MARCOS (PINO, MONARDEZ, BELLAVISTA)</t>
  </si>
  <si>
    <t>ESTANQUE ZANDONAI</t>
  </si>
  <si>
    <t>ESTANQUE BORTOLLOTTI</t>
  </si>
  <si>
    <t>ESTANQUE AGRICOLA HC</t>
  </si>
  <si>
    <t>_08-2021</t>
  </si>
  <si>
    <t>REPOST SANTA FILOMENA</t>
  </si>
  <si>
    <t>Conduccion</t>
  </si>
  <si>
    <t>Acumulacion</t>
  </si>
  <si>
    <t>LLAMAR HACER LOS CAMBIOS</t>
  </si>
  <si>
    <t>SOLO TELEMETRIA</t>
  </si>
  <si>
    <t>A DISEÑO</t>
  </si>
  <si>
    <t>PROYECTOS MENORES EN CARTERA</t>
  </si>
  <si>
    <t>MARCO MONARDEZ</t>
  </si>
  <si>
    <t>MARCO EL PINO</t>
  </si>
  <si>
    <t>MARCO BELLAVISTA</t>
  </si>
  <si>
    <t>PROYECTOS PARTICULARES</t>
  </si>
  <si>
    <t>ESTANQUE FULVIO BORTOLLOTTI</t>
  </si>
  <si>
    <t>ESTANQUE MARIA VERA</t>
  </si>
  <si>
    <t>JUNTARNOS CON CRISTIAN SAAVEDRA</t>
  </si>
  <si>
    <t>2.1</t>
  </si>
  <si>
    <t>2.2</t>
  </si>
  <si>
    <t>2.3</t>
  </si>
  <si>
    <t>3.1</t>
  </si>
  <si>
    <t>3.2</t>
  </si>
  <si>
    <t>3.3</t>
  </si>
  <si>
    <t>2.4</t>
  </si>
  <si>
    <t>MARCO TRIUNFO CAMPESINO</t>
  </si>
  <si>
    <t>TECNIFICACION ZANDONAI</t>
  </si>
  <si>
    <t>NO SELECCIONADO ?</t>
  </si>
  <si>
    <t>ESTANQUE TRIUNFO O SANTA ELENA</t>
  </si>
  <si>
    <t>HISTORIAL DE PROYECTOS CONSTRUIDOS</t>
  </si>
  <si>
    <t>Concurso</t>
  </si>
  <si>
    <t>Costo</t>
  </si>
  <si>
    <t>Lugar Ref.</t>
  </si>
  <si>
    <t>51-2016</t>
  </si>
  <si>
    <t>REVESTIMIENTO CANAL BELLAVISTA km 1,019 - 2,219 Etapa VI</t>
  </si>
  <si>
    <t>Bocatoma</t>
  </si>
  <si>
    <t>52-2016</t>
  </si>
  <si>
    <t>REVESTIMIENTO CANAL BELLAVISTA km 28,996 - 30,196 Etapa VII</t>
  </si>
  <si>
    <t>207-2017</t>
  </si>
  <si>
    <t>REHABILITACION DE CANAL ETAPA II (EMERGENCIAS)</t>
  </si>
  <si>
    <t>Arrayan</t>
  </si>
  <si>
    <t>REHABILITACION DE CANAL ETAPA I (EMERGENCIAS)</t>
  </si>
  <si>
    <t>TOTAL</t>
  </si>
  <si>
    <t>53-2016</t>
  </si>
  <si>
    <t>CONS. DE AFORADOR E INST. DE COMPUERTAS VARIOS SECTORES Etapa IX</t>
  </si>
  <si>
    <t>Varios</t>
  </si>
  <si>
    <t>REAB. DE EMBALSE DE REGULACION CORTA MARCO CERES</t>
  </si>
  <si>
    <t>Ceres</t>
  </si>
  <si>
    <t>51-2017</t>
  </si>
  <si>
    <t>ENTUBAMIENTO CANAL BELLAVISTA Km 0,030 - 0,880 Etapa XI</t>
  </si>
  <si>
    <t>Las Rojas</t>
  </si>
  <si>
    <t>_09-2017</t>
  </si>
  <si>
    <t>REAB. DE EMBALSE DE REGULACION CORTA MARCO BELLAVISTA</t>
  </si>
  <si>
    <t>Bellavista</t>
  </si>
  <si>
    <t>REAB. DE EMBALSE DE REGULACION CORTA MARCO SANTA INES</t>
  </si>
  <si>
    <t>Santa Ines</t>
  </si>
  <si>
    <t>53-2017</t>
  </si>
  <si>
    <t>_08-2018</t>
  </si>
  <si>
    <t>CONS. DE AFORADOR E INST. DE COMPUERTAS, VISTABELLA</t>
  </si>
  <si>
    <t>Vistabella</t>
  </si>
  <si>
    <t>Hinojal</t>
  </si>
  <si>
    <t>El Rosario</t>
  </si>
  <si>
    <t>Titon</t>
  </si>
  <si>
    <t>San Rafael</t>
  </si>
  <si>
    <t>Etapa</t>
  </si>
  <si>
    <t>VI</t>
  </si>
  <si>
    <t>VII</t>
  </si>
  <si>
    <t>REVESTIMIENTO CANAL BELLAVISTA km 1,019 - 2,219</t>
  </si>
  <si>
    <t>REVESTIMIENTO CANAL BELLAVISTA km 28,996 - 30,196</t>
  </si>
  <si>
    <t>IX</t>
  </si>
  <si>
    <t>CONS. DE AFORADOR E INST. DE COMPUERTAS VARIOS SECTORES</t>
  </si>
  <si>
    <t>XI</t>
  </si>
  <si>
    <t>ENTUBAMIENTO CANAL BELLAVISTA Km 0,030 - 0,880</t>
  </si>
  <si>
    <t>Estanque</t>
  </si>
  <si>
    <t>XII</t>
  </si>
  <si>
    <t>CONS. DE AFORADOR E INST. DE COMPUERTAS</t>
  </si>
  <si>
    <t>_08-2019</t>
  </si>
  <si>
    <t>XV</t>
  </si>
  <si>
    <t>XIII</t>
  </si>
  <si>
    <t>CUADRO PROYECTOS BONIFICADOS Y CONSTRUIDOS</t>
  </si>
  <si>
    <t>Costo Total (UF)</t>
  </si>
  <si>
    <t>102-2013-R</t>
  </si>
  <si>
    <t>CONSTRUCCION DE ACUEDUCTO UBICADO EN VARIOS PREDIOS</t>
  </si>
  <si>
    <t>San Antonio al El Retiro</t>
  </si>
  <si>
    <t>03-2013</t>
  </si>
  <si>
    <t>TELEMETRIA Y CONTROL AUTOMATICO DE COMPUERTAS ETAPA I</t>
  </si>
  <si>
    <t>El Carmen y Retiro</t>
  </si>
  <si>
    <t>09-2018</t>
  </si>
  <si>
    <t>REAB. DE EMBALSE DE REGULACION CORTA MARCO CORAZON DE MARIA</t>
  </si>
  <si>
    <t>Corazon de Maria</t>
  </si>
  <si>
    <t>09-2017</t>
  </si>
  <si>
    <t>08-2018</t>
  </si>
  <si>
    <t>INSTALACION DE COMPUERTAS AUTOMATIZADAS EN TRES SECTORES</t>
  </si>
  <si>
    <t>Qda. Talca, Animas y San Francisco</t>
  </si>
  <si>
    <t>INCOVEG</t>
  </si>
  <si>
    <t>CANAL BELL</t>
  </si>
  <si>
    <t>GEPCO</t>
  </si>
  <si>
    <t>REAB. DE EMBALSE DE REGULACION CORTA MARCO SANTA ANA</t>
  </si>
  <si>
    <t>Santa Ana</t>
  </si>
  <si>
    <t>INSTALACIÓN DE COMPUERTAS RUBICON Y TELEMETRÍA EN CANAL BELLAVISTA, SECTOR MARCO CERES KM 35,247, ETAPA XX</t>
  </si>
  <si>
    <t>INSTALACIÓN DE COMPUERTAS RUBICON Y TELEMETRÍA EN CANAL BELLAVISTA, SECTORES MARCO MONARDEZ KM 31,694 Y MARCO BELLAVISTA KM32,761, ETAPA XIX</t>
  </si>
  <si>
    <t>Monardez y Bellavista</t>
  </si>
  <si>
    <t>REHABILITACIÓN DE EMBALSE DE REGULACIÓN CORTA RETIRO Y AUTOMATIZACIÓN DE COMPUERTAS</t>
  </si>
  <si>
    <t>Ripamonti</t>
  </si>
  <si>
    <t>ENTUBAMIENTO CANAL BELLAVISTA KM 8,231 - 8,454 ETAPA XIV</t>
  </si>
  <si>
    <t>El rosario</t>
  </si>
  <si>
    <t>Ruta 41 titon</t>
  </si>
  <si>
    <t>Cerrillos, Nueva Vida, Corazon de M.</t>
  </si>
  <si>
    <t>EMPRESA</t>
  </si>
  <si>
    <t>Entubamiento canal Bellavista km 12,630 – 13,150 Etapa XXI</t>
  </si>
  <si>
    <t>TOTAL UF</t>
  </si>
  <si>
    <t>MONTO UF</t>
  </si>
  <si>
    <t>Contruido por</t>
  </si>
  <si>
    <t>Ver Inicio de Obra</t>
  </si>
  <si>
    <t xml:space="preserve">Construcción de aforador y automatización de compuertas en derivados del canal Bellavista, Etapa XXII </t>
  </si>
  <si>
    <t>Sta.Rosa, Carmen, Nueva Vida, Cerrillos</t>
  </si>
  <si>
    <t>MONTO</t>
  </si>
  <si>
    <t>APORTE</t>
  </si>
  <si>
    <t>APORTE SOL</t>
  </si>
  <si>
    <t>CONSTRUCCIÓN DE AFORADOR Y AUTOMATIZACIÓN DE COMPUERTAS EN DERIVADOS DEL CANAL BELLAVISTA, ETAPA XXII</t>
  </si>
  <si>
    <t>PROYECTO</t>
  </si>
  <si>
    <t>SUBSIDIO</t>
  </si>
  <si>
    <t>CONSTRUCCIÓN DE AFORADOR Y AUTOMATIZACIÓN DE COMPUERTAS CANAL BELLAVISTA, MARCO EL RETIRO, RAMAL 1 ETAPA XXIV</t>
  </si>
  <si>
    <t>UF 01-03-22</t>
  </si>
  <si>
    <t>INSTALACIÓN DE COMPUERTAS RUBICON Y TELEMETRÍA EN CANAL BELLAVISTA, SECTORES MARCO MONARDEZ KM 31,694 Y MARCO BELLAVISTA KM 32,761, ETAPA XIX</t>
  </si>
  <si>
    <t>CONSTRUCTORA</t>
  </si>
  <si>
    <t>ENTUBAMIENTO CANAL BELLAVISTA kM 12,630 – 13,150 ETAPA XXI</t>
  </si>
  <si>
    <t>PROYECTOS CONSIDERADOS INVIERNO 2022</t>
  </si>
  <si>
    <t>COSTO OBRAS</t>
  </si>
  <si>
    <t>COSTO APORTE</t>
  </si>
  <si>
    <t>El Retiro</t>
  </si>
  <si>
    <t>Distribucion</t>
  </si>
  <si>
    <t>Tipo</t>
  </si>
  <si>
    <t>Emergencia</t>
  </si>
  <si>
    <t>Indicador</t>
  </si>
  <si>
    <t>ELIMINADO</t>
  </si>
  <si>
    <t>08-2020</t>
  </si>
  <si>
    <t>ENTUBAMIIENTO CANAL BELLAVISTA-MCO. TRIUNFO CAMPESINO KM 0.00 - 0.400</t>
  </si>
  <si>
    <t>KMAN SPA</t>
  </si>
  <si>
    <t xml:space="preserve">REHABILITACIÓN DE EMBALSE DE REGULACIÓN CORTA RETIRO Y AUTOMATIZACIÓN DE COMPUERTAS </t>
  </si>
  <si>
    <t xml:space="preserve">REVESTIMIENTO DE CANAL BELLAVISTA KM 52,533 - 54,493 </t>
  </si>
  <si>
    <t>ENTUBAMIENTO DE CANAL BELLAVISTA DERIVADO CERES KM 0,000 – 0,400</t>
  </si>
  <si>
    <t>04-2022</t>
  </si>
  <si>
    <t>31-2021</t>
  </si>
  <si>
    <t>Entubamieto Parcial Marco</t>
  </si>
  <si>
    <t xml:space="preserve">ENTUBAMIENTO DE CANAL BELLAVISTA, DERIVADO MONARDEZ KM 0,000 - 1,064 ETAPA XXV </t>
  </si>
  <si>
    <t>ESTATUS</t>
  </si>
  <si>
    <t>51-2022</t>
  </si>
  <si>
    <t>REVESTIMIENTO DE CANAL BELLAVISTA CARMEN I</t>
  </si>
  <si>
    <t>Revestmiento Carmen 1</t>
  </si>
  <si>
    <t>53-2022</t>
  </si>
  <si>
    <t>TELEMETRIA CANAL BELLAVISTA</t>
  </si>
  <si>
    <t>CORAZON, TRIUNFO Y SANTA FILOMENA</t>
  </si>
  <si>
    <t>UNIDAD</t>
  </si>
  <si>
    <t>ML</t>
  </si>
  <si>
    <t>GL</t>
  </si>
  <si>
    <t>COMPUERTA</t>
  </si>
  <si>
    <t>M3</t>
  </si>
  <si>
    <t>INSTALACIÓN DE COMPUERTAS, MARCO CERES, ETAPA XX</t>
  </si>
  <si>
    <t>REHABILITACION ESTANQUES CERRILLOS NUEVA VIDA</t>
  </si>
  <si>
    <t>XX</t>
  </si>
  <si>
    <t>INSTALACIÓN DE COMPUERTAS, MARCO MONARDEZ KM 31,694 Y MARCO BELLAVISTA KM32,761, ETAPA XIX</t>
  </si>
  <si>
    <t>Monardez &amp; Bellavista</t>
  </si>
  <si>
    <t>ENTUBAMIENTO KM 12,630 – 13,150 ETAPA XXI</t>
  </si>
  <si>
    <t>CONSTRUCCIÓN DE MARCO EL RETIRO, ETAPA XXIV</t>
  </si>
  <si>
    <t>XIX</t>
  </si>
  <si>
    <t>XXI</t>
  </si>
  <si>
    <t>XXIV</t>
  </si>
  <si>
    <t xml:space="preserve">Rehabilitación de embalse de regulación corta ex CORA Marco Triunfo Campesino </t>
  </si>
  <si>
    <t>2023-04</t>
  </si>
  <si>
    <t xml:space="preserve">Entubamiento de canal Bellavista derivado Santa Bárbara km 0,009 - 0, 500 Etapa I </t>
  </si>
  <si>
    <t>15-2023</t>
  </si>
  <si>
    <t xml:space="preserve">Revestimiento de canal Bellavista derivado Marco El Carmen km 0,001 - 0, 534 </t>
  </si>
  <si>
    <t xml:space="preserve">Entubamiento de canal Bellavista derivado Marco Triunfo Campesino km 0,400 - 0,800 Etapa II </t>
  </si>
  <si>
    <t>Estanque Triunfo Campesino</t>
  </si>
  <si>
    <t>Marco Venus</t>
  </si>
  <si>
    <t>Marco Santa Barbara</t>
  </si>
  <si>
    <t>Marco Triunfo Campesino</t>
  </si>
  <si>
    <t xml:space="preserve">Entubamiento de canal Bellavista derivado Marco Bellavista km 0,000 - 0, 280 Etapa I </t>
  </si>
  <si>
    <t>27-2023</t>
  </si>
  <si>
    <t>Marco Bellavista</t>
  </si>
  <si>
    <t xml:space="preserve">Entubamiento de canal Bellavista derivado Corazón de María km 0,012 - 0, 420 Etapa I </t>
  </si>
  <si>
    <t>Marco Corazon de Maria</t>
  </si>
  <si>
    <t>CUADRO PROYECTOS BONIFICADOS EN CONSTRUCCION AÑO 2023</t>
  </si>
  <si>
    <t>CUADRO PROYECTOS BONIFICADOS EN CONSTRUCCION AÑO 2024</t>
  </si>
  <si>
    <t xml:space="preserve">XXII </t>
  </si>
  <si>
    <t xml:space="preserve">XXV </t>
  </si>
  <si>
    <t>PROYECTOS A CONCURSOS 2024</t>
  </si>
  <si>
    <t>05-2024</t>
  </si>
  <si>
    <t>AUTOMATIZACION TRANQUES COMUNITARIOS</t>
  </si>
  <si>
    <t>07-2024</t>
  </si>
  <si>
    <t>3 PROYECTOS MARCOS CANAL BELLAVISTA</t>
  </si>
  <si>
    <t>13-2024</t>
  </si>
  <si>
    <t>2 PROYECTOS TRANQUES CORA</t>
  </si>
  <si>
    <t>23-2024</t>
  </si>
  <si>
    <t>AUTOMATIZACION MARCO CANALA BELLAVISTA</t>
  </si>
  <si>
    <t>24-2024</t>
  </si>
  <si>
    <t>4 PROYECTOS MARCOS CANAL BELLAVISTA</t>
  </si>
  <si>
    <t>53-2024</t>
  </si>
  <si>
    <t>2 PROYECTOS OBRAS MEDIANAS</t>
  </si>
  <si>
    <t>PROYECTOS ESPECIAL DOH AÑO 2024</t>
  </si>
  <si>
    <t>OBRAS DE CONSERVACIÓN, MONITOREO Y CONTROL CANAL BELLAVISTA, COMUNA DE LA SERENA, REGIÓN DE COQUIMBO</t>
  </si>
  <si>
    <t>INGAL INGENIERIA Y CONSTRUCCIÓN LTDA.</t>
  </si>
  <si>
    <t>Revestmiento Hinojal 3.850 m</t>
  </si>
  <si>
    <t>CUADRO PROYECTOS BONIFICADOS EN CONSTRUCCION AÑO 2025</t>
  </si>
  <si>
    <t>EN CONSTRUCCION</t>
  </si>
  <si>
    <t>Prog. 2025</t>
  </si>
  <si>
    <t>Marco Bellavista Entubamiento</t>
  </si>
  <si>
    <t>ENTUBAMIENTO DE CANAL BELLAVISTA DERIVADO MARCO BELLAVISTA KM 0,000 - 0,380 ETAPA II</t>
  </si>
  <si>
    <t>07-2024-04-071</t>
  </si>
  <si>
    <t>ENTUBAMIENTO DE CANAL BELLAVISTA MARCO QUILLACÁN KM 0,530 - 0,970 ETAPA I</t>
  </si>
  <si>
    <t>Marco Quilacan Entubamiento</t>
  </si>
  <si>
    <t>07-2024-04-068</t>
  </si>
  <si>
    <t>ENTUBAMIENTO DE CANAL BELLAVISTA DERIVADO VENCEDOR EL CARMEN KM 0,020 - 0,420 ETAPA I</t>
  </si>
  <si>
    <t>07-2024-04-061</t>
  </si>
  <si>
    <t>Marco Vencedor El Carmen Entubamiento</t>
  </si>
  <si>
    <t>REVESTIMIENTO DE CANAL BELLAVISTA KM 0,100 - 1,560 (HUACHALALUME)</t>
  </si>
  <si>
    <t>54-2023-04-001</t>
  </si>
  <si>
    <t>Matriz Sector Huachalalume</t>
  </si>
  <si>
    <t>REHABILITACIÓN DE EMBALSE DE REGULACIÓN CORTA EX CORA BELLAVISTA SECTOR EL RETIRO</t>
  </si>
  <si>
    <t>16-2024-04-002</t>
  </si>
  <si>
    <t>Estanque El Retiro Poza N°3</t>
  </si>
  <si>
    <t>07-2024-04-069</t>
  </si>
  <si>
    <t>REVESTIMIENTO DE CANAL BELLAVISTA KM 34,927 - 35,238</t>
  </si>
  <si>
    <t>Matriz Sector Ceres</t>
  </si>
  <si>
    <t>Rehabilitación de embalse de regulación corta ex CORA Marco El Pino</t>
  </si>
  <si>
    <t>04-2023-04-005 </t>
  </si>
  <si>
    <t>1.391,71 </t>
  </si>
  <si>
    <t>Estanque Marco El Pino</t>
  </si>
  <si>
    <t>Revestimiento Carmen 2</t>
  </si>
  <si>
    <t>$MM</t>
  </si>
  <si>
    <t>Construido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</si>
</sst>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&quot;$&quot;\-#,##0"/>
    <numFmt numFmtId="164" formatCode="&quot;$&quot;#,##0;[Red]\-&quot;$&quot;#,##0"/>
    <numFmt numFmtId="165" formatCode="_-&quot;$&quot;* #,##0_-;\-&quot;$&quot;* #,##0_-;_-&quot;$&quot;* &quot;-&quot;_-;_-@_-"/>
    <numFmt numFmtId="166" formatCode="&quot;$&quot;#,##0"/>
    <numFmt numFmtId="167" formatCode="0.0"/>
    <numFmt numFmtId="168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0" borderId="2" applyNumberFormat="0" applyFill="0" applyAlignment="0" applyProtection="0"/>
    <xf numFmtId="0" fontId="7" fillId="7" borderId="3" applyNumberFormat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165" fontId="2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  <xf numFmtId="3" fontId="1" fillId="0" borderId="1" xfId="0" applyNumberFormat="1" applyFont="1" applyBorder="1"/>
    <xf numFmtId="9" fontId="1" fillId="0" borderId="1" xfId="0" applyNumberFormat="1" applyFont="1" applyBorder="1" applyAlignment="1">
      <alignment horizontal="center"/>
    </xf>
    <xf numFmtId="9" fontId="1" fillId="0" borderId="0" xfId="1" applyFont="1" applyAlignment="1">
      <alignment horizontal="center"/>
    </xf>
    <xf numFmtId="0" fontId="0" fillId="2" borderId="1" xfId="0" applyFill="1" applyBorder="1"/>
    <xf numFmtId="0" fontId="1" fillId="0" borderId="1" xfId="0" applyFont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4" borderId="0" xfId="3" applyAlignment="1">
      <alignment horizontal="center"/>
    </xf>
    <xf numFmtId="0" fontId="4" fillId="4" borderId="1" xfId="3" applyBorder="1"/>
    <xf numFmtId="0" fontId="3" fillId="3" borderId="1" xfId="2" applyBorder="1" applyAlignment="1">
      <alignment horizontal="center"/>
    </xf>
    <xf numFmtId="0" fontId="5" fillId="5" borderId="1" xfId="4" applyBorder="1" applyAlignment="1">
      <alignment horizontal="center"/>
    </xf>
    <xf numFmtId="49" fontId="4" fillId="4" borderId="1" xfId="3" applyNumberFormat="1" applyBorder="1" applyAlignment="1">
      <alignment horizontal="center"/>
    </xf>
    <xf numFmtId="3" fontId="4" fillId="4" borderId="1" xfId="3" applyNumberFormat="1" applyBorder="1" applyAlignment="1">
      <alignment horizontal="center"/>
    </xf>
    <xf numFmtId="0" fontId="4" fillId="4" borderId="1" xfId="3" applyBorder="1" applyAlignment="1">
      <alignment horizontal="center"/>
    </xf>
    <xf numFmtId="14" fontId="4" fillId="4" borderId="1" xfId="3" applyNumberFormat="1" applyBorder="1" applyAlignment="1">
      <alignment horizontal="center"/>
    </xf>
    <xf numFmtId="0" fontId="3" fillId="3" borderId="1" xfId="2" applyBorder="1"/>
    <xf numFmtId="49" fontId="3" fillId="3" borderId="1" xfId="2" applyNumberFormat="1" applyBorder="1" applyAlignment="1">
      <alignment horizontal="center"/>
    </xf>
    <xf numFmtId="3" fontId="3" fillId="3" borderId="1" xfId="2" applyNumberFormat="1" applyBorder="1" applyAlignment="1">
      <alignment horizontal="center"/>
    </xf>
    <xf numFmtId="14" fontId="3" fillId="3" borderId="1" xfId="2" applyNumberFormat="1" applyBorder="1" applyAlignment="1">
      <alignment horizontal="center"/>
    </xf>
    <xf numFmtId="0" fontId="5" fillId="5" borderId="1" xfId="4" applyBorder="1"/>
    <xf numFmtId="49" fontId="5" fillId="5" borderId="1" xfId="4" applyNumberFormat="1" applyBorder="1" applyAlignment="1">
      <alignment horizontal="center"/>
    </xf>
    <xf numFmtId="3" fontId="5" fillId="5" borderId="1" xfId="4" applyNumberFormat="1" applyBorder="1" applyAlignment="1">
      <alignment horizontal="center"/>
    </xf>
    <xf numFmtId="14" fontId="5" fillId="5" borderId="1" xfId="4" applyNumberFormat="1" applyBorder="1" applyAlignment="1">
      <alignment horizontal="center"/>
    </xf>
    <xf numFmtId="0" fontId="3" fillId="3" borderId="1" xfId="2" applyBorder="1" applyAlignment="1">
      <alignment horizontal="center" wrapText="1"/>
    </xf>
    <xf numFmtId="166" fontId="1" fillId="0" borderId="0" xfId="0" applyNumberFormat="1" applyFont="1"/>
    <xf numFmtId="4" fontId="4" fillId="4" borderId="1" xfId="3" applyNumberFormat="1" applyBorder="1" applyAlignment="1">
      <alignment horizontal="center"/>
    </xf>
    <xf numFmtId="2" fontId="3" fillId="3" borderId="1" xfId="2" applyNumberFormat="1" applyBorder="1" applyAlignment="1">
      <alignment horizontal="center"/>
    </xf>
    <xf numFmtId="2" fontId="4" fillId="4" borderId="1" xfId="3" applyNumberFormat="1" applyBorder="1" applyAlignment="1">
      <alignment horizontal="center"/>
    </xf>
    <xf numFmtId="2" fontId="3" fillId="3" borderId="1" xfId="2" applyNumberFormat="1" applyBorder="1"/>
    <xf numFmtId="4" fontId="0" fillId="0" borderId="1" xfId="0" applyNumberFormat="1" applyBorder="1"/>
    <xf numFmtId="4" fontId="1" fillId="0" borderId="0" xfId="0" applyNumberFormat="1" applyFont="1"/>
    <xf numFmtId="0" fontId="0" fillId="6" borderId="1" xfId="0" applyFill="1" applyBorder="1"/>
    <xf numFmtId="4" fontId="3" fillId="3" borderId="0" xfId="2" applyNumberFormat="1" applyAlignment="1">
      <alignment horizontal="center"/>
    </xf>
    <xf numFmtId="4" fontId="3" fillId="3" borderId="1" xfId="2" applyNumberFormat="1" applyBorder="1" applyAlignment="1">
      <alignment horizontal="center"/>
    </xf>
    <xf numFmtId="16" fontId="0" fillId="0" borderId="0" xfId="0" applyNumberFormat="1"/>
    <xf numFmtId="166" fontId="0" fillId="0" borderId="0" xfId="0" applyNumberFormat="1"/>
    <xf numFmtId="17" fontId="0" fillId="0" borderId="0" xfId="0" applyNumberFormat="1"/>
    <xf numFmtId="0" fontId="9" fillId="0" borderId="0" xfId="0" applyFont="1"/>
    <xf numFmtId="2" fontId="5" fillId="5" borderId="1" xfId="4" applyNumberFormat="1" applyBorder="1" applyAlignment="1">
      <alignment horizontal="center"/>
    </xf>
    <xf numFmtId="4" fontId="5" fillId="5" borderId="1" xfId="4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3" borderId="0" xfId="2" applyAlignment="1">
      <alignment horizontal="center"/>
    </xf>
    <xf numFmtId="14" fontId="5" fillId="5" borderId="4" xfId="4" applyNumberFormat="1" applyBorder="1" applyAlignment="1">
      <alignment horizontal="center"/>
    </xf>
    <xf numFmtId="14" fontId="3" fillId="3" borderId="4" xfId="2" applyNumberFormat="1" applyBorder="1" applyAlignment="1">
      <alignment horizontal="center"/>
    </xf>
    <xf numFmtId="0" fontId="8" fillId="9" borderId="1" xfId="8" applyBorder="1"/>
    <xf numFmtId="14" fontId="0" fillId="0" borderId="0" xfId="0" applyNumberFormat="1"/>
    <xf numFmtId="0" fontId="8" fillId="8" borderId="0" xfId="7"/>
    <xf numFmtId="0" fontId="7" fillId="7" borderId="3" xfId="6"/>
    <xf numFmtId="0" fontId="10" fillId="0" borderId="2" xfId="5" applyFont="1" applyAlignment="1">
      <alignment horizontal="center"/>
    </xf>
    <xf numFmtId="0" fontId="10" fillId="0" borderId="2" xfId="5" applyFont="1" applyFill="1" applyAlignment="1">
      <alignment horizontal="center"/>
    </xf>
    <xf numFmtId="0" fontId="8" fillId="8" borderId="0" xfId="7" applyAlignment="1">
      <alignment horizontal="center"/>
    </xf>
    <xf numFmtId="2" fontId="0" fillId="0" borderId="1" xfId="0" applyNumberFormat="1" applyBorder="1"/>
    <xf numFmtId="3" fontId="1" fillId="0" borderId="0" xfId="0" applyNumberFormat="1" applyFont="1"/>
    <xf numFmtId="6" fontId="0" fillId="0" borderId="0" xfId="0" applyNumberFormat="1"/>
    <xf numFmtId="0" fontId="11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0" fillId="0" borderId="1" xfId="0" applyNumberFormat="1" applyBorder="1"/>
    <xf numFmtId="17" fontId="0" fillId="0" borderId="1" xfId="0" applyNumberFormat="1" applyBorder="1"/>
    <xf numFmtId="2" fontId="1" fillId="0" borderId="0" xfId="0" applyNumberFormat="1" applyFont="1"/>
    <xf numFmtId="167" fontId="1" fillId="0" borderId="1" xfId="0" applyNumberFormat="1" applyFont="1" applyBorder="1"/>
    <xf numFmtId="0" fontId="4" fillId="4" borderId="5" xfId="3" applyBorder="1"/>
    <xf numFmtId="0" fontId="0" fillId="0" borderId="5" xfId="0" applyBorder="1"/>
    <xf numFmtId="168" fontId="0" fillId="0" borderId="0" xfId="1" applyNumberFormat="1" applyFont="1"/>
    <xf numFmtId="165" fontId="1" fillId="0" borderId="0" xfId="9" applyFont="1"/>
    <xf numFmtId="9" fontId="0" fillId="0" borderId="0" xfId="0" applyNumberFormat="1"/>
    <xf numFmtId="165" fontId="0" fillId="0" borderId="0" xfId="0" applyNumberFormat="1"/>
    <xf numFmtId="0" fontId="3" fillId="3" borderId="1" xfId="2" applyBorder="1" applyAlignment="1">
      <alignment horizontal="left" wrapText="1"/>
    </xf>
    <xf numFmtId="4" fontId="3" fillId="3" borderId="1" xfId="2" applyNumberFormat="1" applyBorder="1" applyAlignment="1">
      <alignment horizontal="center" vertical="center"/>
    </xf>
    <xf numFmtId="10" fontId="3" fillId="3" borderId="1" xfId="2" applyNumberFormat="1" applyBorder="1" applyAlignment="1">
      <alignment horizontal="center" vertical="center"/>
    </xf>
    <xf numFmtId="2" fontId="3" fillId="3" borderId="1" xfId="2" applyNumberFormat="1" applyBorder="1" applyAlignment="1">
      <alignment horizontal="right" vertical="center"/>
    </xf>
    <xf numFmtId="0" fontId="5" fillId="5" borderId="1" xfId="4" applyBorder="1" applyAlignment="1">
      <alignment wrapText="1"/>
    </xf>
    <xf numFmtId="4" fontId="5" fillId="5" borderId="1" xfId="4" applyNumberFormat="1" applyBorder="1" applyAlignment="1">
      <alignment horizontal="center" vertical="center"/>
    </xf>
    <xf numFmtId="10" fontId="5" fillId="5" borderId="1" xfId="4" applyNumberFormat="1" applyBorder="1" applyAlignment="1">
      <alignment horizontal="center" vertical="center"/>
    </xf>
    <xf numFmtId="2" fontId="5" fillId="5" borderId="1" xfId="4" applyNumberFormat="1" applyBorder="1" applyAlignment="1">
      <alignment horizontal="right" vertical="center"/>
    </xf>
    <xf numFmtId="1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3" borderId="1" xfId="2" applyBorder="1" applyAlignment="1">
      <alignment horizontal="center" vertical="center" wrapText="1"/>
    </xf>
    <xf numFmtId="0" fontId="5" fillId="5" borderId="1" xfId="4" applyBorder="1" applyAlignment="1">
      <alignment horizontal="center" vertical="center" wrapText="1"/>
    </xf>
    <xf numFmtId="0" fontId="3" fillId="3" borderId="1" xfId="2" applyBorder="1" applyAlignment="1">
      <alignment horizontal="center" vertical="center"/>
    </xf>
    <xf numFmtId="9" fontId="1" fillId="0" borderId="0" xfId="1" applyFont="1"/>
    <xf numFmtId="165" fontId="4" fillId="4" borderId="0" xfId="3" applyNumberFormat="1"/>
    <xf numFmtId="165" fontId="0" fillId="0" borderId="0" xfId="9" applyFont="1"/>
    <xf numFmtId="0" fontId="0" fillId="0" borderId="6" xfId="0" applyBorder="1"/>
    <xf numFmtId="164" fontId="0" fillId="0" borderId="0" xfId="0" applyNumberFormat="1"/>
    <xf numFmtId="0" fontId="0" fillId="0" borderId="7" xfId="0" applyBorder="1"/>
    <xf numFmtId="6" fontId="0" fillId="0" borderId="7" xfId="0" applyNumberFormat="1" applyBorder="1"/>
    <xf numFmtId="164" fontId="0" fillId="0" borderId="7" xfId="0" applyNumberFormat="1" applyBorder="1"/>
    <xf numFmtId="2" fontId="0" fillId="0" borderId="0" xfId="0" applyNumberFormat="1"/>
    <xf numFmtId="4" fontId="0" fillId="0" borderId="0" xfId="0" applyNumberFormat="1"/>
    <xf numFmtId="0" fontId="0" fillId="0" borderId="7" xfId="0" applyBorder="1" applyAlignment="1">
      <alignment horizontal="center"/>
    </xf>
    <xf numFmtId="4" fontId="1" fillId="0" borderId="1" xfId="0" applyNumberFormat="1" applyFont="1" applyBorder="1"/>
    <xf numFmtId="4" fontId="0" fillId="0" borderId="1" xfId="0" applyNumberFormat="1" applyBorder="1" applyAlignment="1">
      <alignment horizontal="right"/>
    </xf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0">
    <cellStyle name="Bueno" xfId="2" builtinId="26"/>
    <cellStyle name="Celda de comprobación" xfId="6" builtinId="23"/>
    <cellStyle name="Encabezado 1" xfId="5" builtinId="16"/>
    <cellStyle name="Énfasis1" xfId="7" builtinId="29"/>
    <cellStyle name="Énfasis2" xfId="8" builtinId="33"/>
    <cellStyle name="Incorrecto" xfId="3" builtinId="27"/>
    <cellStyle name="Moneda [0]" xfId="9" builtinId="7"/>
    <cellStyle name="Neutral" xfId="4" builtinId="2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Inversion en Canal</a:t>
            </a:r>
            <a:r>
              <a:rPr lang="es-MX" baseline="0"/>
              <a:t> Bellavista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Hoja3!$K$9:$K$16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Hoja3!$M$9:$M$16</c:f>
              <c:numCache>
                <c:formatCode>0.00</c:formatCode>
                <c:ptCount val="8"/>
                <c:pt idx="0">
                  <c:v>997.93045199999995</c:v>
                </c:pt>
                <c:pt idx="1">
                  <c:v>1079.3907039999999</c:v>
                </c:pt>
                <c:pt idx="2">
                  <c:v>1064.599152</c:v>
                </c:pt>
                <c:pt idx="3">
                  <c:v>2659.5275449999999</c:v>
                </c:pt>
                <c:pt idx="4">
                  <c:v>732.30269999999996</c:v>
                </c:pt>
                <c:pt idx="5">
                  <c:v>1351.127741</c:v>
                </c:pt>
                <c:pt idx="6">
                  <c:v>2792.6591884554</c:v>
                </c:pt>
                <c:pt idx="7">
                  <c:v>5912.1263187990962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F-234A-AAF8-AD28B0CF4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103936"/>
        <c:axId val="417098400"/>
      </c:barChart>
      <c:catAx>
        <c:axId val="41710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7098400"/>
        <c:crosses val="autoZero"/>
        <c:auto val="1"/>
        <c:lblAlgn val="ctr"/>
        <c:lblOffset val="100"/>
        <c:noMultiLvlLbl val="0"/>
      </c:catAx>
      <c:valAx>
        <c:axId val="41709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MM$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710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Proyectos Construidos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14066948851266664"/>
          <c:y val="8.9430689661161536E-2"/>
          <c:w val="0.7088488608255672"/>
          <c:h val="0.8306492354480646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EE7-4B27-A924-298030A3AD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989-463F-84EA-C7CE8E9D36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EE7-4B27-A924-298030A3AD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989-463F-84EA-C7CE8E9D36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89-463F-84EA-C7CE8E9D36DB}"/>
              </c:ext>
            </c:extLst>
          </c:dPt>
          <c:dLbls>
            <c:dLbl>
              <c:idx val="1"/>
              <c:layout>
                <c:manualLayout>
                  <c:x val="-3.5883326104494129E-2"/>
                  <c:y val="0.1274638344625526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89-463F-84EA-C7CE8E9D36DB}"/>
                </c:ext>
              </c:extLst>
            </c:dLbl>
            <c:dLbl>
              <c:idx val="3"/>
              <c:layout>
                <c:manualLayout>
                  <c:x val="7.110378129308495E-2"/>
                  <c:y val="9.368735884758591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89-463F-84EA-C7CE8E9D36DB}"/>
                </c:ext>
              </c:extLst>
            </c:dLbl>
            <c:dLbl>
              <c:idx val="4"/>
              <c:layout>
                <c:manualLayout>
                  <c:x val="5.6848395520732696E-2"/>
                  <c:y val="0.1191335966725089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89-463F-84EA-C7CE8E9D36D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Hoja4!$J$5:$J$9</c:f>
              <c:strCache>
                <c:ptCount val="5"/>
                <c:pt idx="0">
                  <c:v>CANAL BELL</c:v>
                </c:pt>
                <c:pt idx="1">
                  <c:v>INCOVEG</c:v>
                </c:pt>
                <c:pt idx="2">
                  <c:v>AGROTEK</c:v>
                </c:pt>
                <c:pt idx="3">
                  <c:v>GEPCO</c:v>
                </c:pt>
                <c:pt idx="4">
                  <c:v>CANO LTDA</c:v>
                </c:pt>
              </c:strCache>
            </c:strRef>
          </c:cat>
          <c:val>
            <c:numRef>
              <c:f>Hoja4!$K$5:$K$9</c:f>
              <c:numCache>
                <c:formatCode>0.0</c:formatCode>
                <c:ptCount val="5"/>
                <c:pt idx="0">
                  <c:v>3260.12</c:v>
                </c:pt>
                <c:pt idx="1">
                  <c:v>12888.69</c:v>
                </c:pt>
                <c:pt idx="2">
                  <c:v>215303.57</c:v>
                </c:pt>
                <c:pt idx="3">
                  <c:v>13591.380000000001</c:v>
                </c:pt>
                <c:pt idx="4">
                  <c:v>77195.23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9-463F-84EA-C7CE8E9D36D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69850</xdr:colOff>
      <xdr:row>20</xdr:row>
      <xdr:rowOff>25400</xdr:rowOff>
    </xdr:from>
    <xdr:to>
      <xdr:col>17</xdr:col>
      <xdr:colOff>76200</xdr:colOff>
      <xdr:row>39</xdr:row>
      <xdr:rowOff>177800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F28030-52A2-6D3F-0B45-F1203946D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530224</xdr:colOff>
      <xdr:row>3</xdr:row>
      <xdr:rowOff>144462</xdr:rowOff>
    </xdr:from>
    <xdr:to>
      <xdr:col>17</xdr:col>
      <xdr:colOff>581819</xdr:colOff>
      <xdr:row>23</xdr:row>
      <xdr:rowOff>138509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7BD363-CE3A-4580-BAC7-7DE665D01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DEC9-DEEF-409C-B027-C427894241C9}">
  <sheetPr>
    <pageSetUpPr fitToPage="1"/>
  </sheetPr>
  <dimension ref="A2:T117"/>
  <sheetViews>
    <sheetView topLeftCell="A58" zoomScaleNormal="100" workbookViewId="0">
      <selection activeCell="B90" sqref="B90"/>
    </sheetView>
  </sheetViews>
  <sheetFormatPr baseColWidth="10" defaultColWidth="10.81640625" defaultRowHeight="14.5" x14ac:dyDescent="0.35"/>
  <cols>
    <col min="2" max="2" width="38.453125" customWidth="1"/>
    <col min="3" max="3" width="9.453125" customWidth="1"/>
    <col min="4" max="4" width="15.81640625" customWidth="1"/>
    <col min="5" max="5" width="10.1796875" customWidth="1"/>
    <col min="6" max="6" width="11" customWidth="1"/>
    <col min="7" max="7" width="13" customWidth="1"/>
    <col min="8" max="8" width="16.81640625" customWidth="1"/>
    <col min="9" max="9" width="7.81640625" customWidth="1"/>
    <col min="10" max="10" width="11.36328125" customWidth="1"/>
    <col min="11" max="11" width="27.453125" customWidth="1"/>
    <col min="12" max="12" width="15" customWidth="1"/>
    <col min="13" max="14" width="12.6328125" customWidth="1"/>
    <col min="15" max="15" width="4.1796875" customWidth="1"/>
  </cols>
  <sheetData>
    <row r="2" spans="2:16" x14ac:dyDescent="0.35">
      <c r="B2" s="1" t="s">
        <v>10</v>
      </c>
    </row>
    <row r="4" spans="2:16" ht="29" x14ac:dyDescent="0.35">
      <c r="B4" s="2" t="s">
        <v>1</v>
      </c>
      <c r="C4" s="2" t="s">
        <v>0</v>
      </c>
      <c r="D4" s="2" t="s">
        <v>3</v>
      </c>
      <c r="E4" s="2" t="s">
        <v>34</v>
      </c>
      <c r="F4" s="2" t="s">
        <v>33</v>
      </c>
      <c r="G4" s="11" t="s">
        <v>36</v>
      </c>
      <c r="H4" s="2" t="s">
        <v>37</v>
      </c>
      <c r="J4" s="11" t="s">
        <v>32</v>
      </c>
      <c r="K4" s="16" t="s">
        <v>27</v>
      </c>
      <c r="L4" s="16" t="s">
        <v>19</v>
      </c>
      <c r="M4" s="16" t="s">
        <v>21</v>
      </c>
      <c r="N4" s="16" t="s">
        <v>28</v>
      </c>
      <c r="P4" s="11" t="s">
        <v>31</v>
      </c>
    </row>
    <row r="5" spans="2:16" ht="15.5" x14ac:dyDescent="0.35">
      <c r="B5" s="22" t="s">
        <v>49</v>
      </c>
      <c r="C5" s="30" t="s">
        <v>50</v>
      </c>
      <c r="D5" s="22">
        <v>15163.06</v>
      </c>
      <c r="E5" s="28" t="s">
        <v>22</v>
      </c>
      <c r="F5" s="22" t="s">
        <v>19</v>
      </c>
      <c r="G5" s="36"/>
      <c r="H5" s="22" t="s">
        <v>46</v>
      </c>
      <c r="J5" s="17">
        <f t="shared" ref="J5" si="0">27500*D5</f>
        <v>416984150</v>
      </c>
      <c r="K5" s="5">
        <f>IF(F5="Santa Valentina",J5,0)</f>
        <v>0</v>
      </c>
      <c r="L5" s="5">
        <f>IF(F5="Gepco",J5,0)</f>
        <v>416984150</v>
      </c>
      <c r="M5" s="5">
        <f>IF(F5="AGROTEK",J5,0)</f>
        <v>0</v>
      </c>
      <c r="N5" s="5">
        <f>IF(F5="R. Berrios",J5,0)</f>
        <v>0</v>
      </c>
      <c r="P5" s="5">
        <v>1500000</v>
      </c>
    </row>
    <row r="6" spans="2:16" ht="15.5" x14ac:dyDescent="0.35">
      <c r="B6" s="21" t="s">
        <v>7</v>
      </c>
      <c r="C6" s="24" t="s">
        <v>2</v>
      </c>
      <c r="D6" s="26">
        <v>6412.62</v>
      </c>
      <c r="E6" s="26" t="s">
        <v>20</v>
      </c>
      <c r="F6" s="26" t="s">
        <v>18</v>
      </c>
      <c r="G6" s="27">
        <v>43515</v>
      </c>
      <c r="H6" s="26" t="s">
        <v>85</v>
      </c>
      <c r="I6" s="14"/>
      <c r="J6" s="17">
        <f t="shared" ref="J6:J12" si="1">27500*D6</f>
        <v>176347050</v>
      </c>
      <c r="K6" s="5">
        <f>IF(F6="Santa Valentina",J6,0)</f>
        <v>176347050</v>
      </c>
      <c r="L6" s="5">
        <f>IF(F6="Gepco",J6,0)</f>
        <v>0</v>
      </c>
      <c r="M6" s="5">
        <f>IF(F6="AGROTEK",J6,0)</f>
        <v>0</v>
      </c>
      <c r="N6" s="5">
        <f>IF(F6="R. Berrios",J6,0)</f>
        <v>0</v>
      </c>
      <c r="P6" s="5">
        <v>1500000</v>
      </c>
    </row>
    <row r="7" spans="2:16" ht="15.5" x14ac:dyDescent="0.35">
      <c r="B7" s="21" t="s">
        <v>39</v>
      </c>
      <c r="C7" s="24" t="s">
        <v>4</v>
      </c>
      <c r="D7" s="25">
        <v>4500</v>
      </c>
      <c r="E7" s="21" t="s">
        <v>22</v>
      </c>
      <c r="F7" s="26" t="s">
        <v>19</v>
      </c>
      <c r="G7" s="27">
        <v>43567</v>
      </c>
      <c r="H7" s="21" t="s">
        <v>44</v>
      </c>
      <c r="J7" s="17">
        <f t="shared" si="1"/>
        <v>123750000</v>
      </c>
      <c r="K7" s="5">
        <f t="shared" ref="K7:K9" si="2">IF(F7="Santa Valentina",J7,0)</f>
        <v>0</v>
      </c>
      <c r="L7" s="5">
        <f t="shared" ref="L7:L9" si="3">IF(F7="Gepco",J7,0)</f>
        <v>123750000</v>
      </c>
      <c r="M7" s="5">
        <f t="shared" ref="M7:M9" si="4">IF(F7="AGROTEK",J7,0)</f>
        <v>0</v>
      </c>
      <c r="N7" s="5">
        <f t="shared" ref="N7:N9" si="5">IF(F7="R. Berrios",J7,0)</f>
        <v>0</v>
      </c>
      <c r="P7" s="5">
        <v>1500000</v>
      </c>
    </row>
    <row r="8" spans="2:16" ht="15.5" x14ac:dyDescent="0.35">
      <c r="B8" s="28" t="s">
        <v>41</v>
      </c>
      <c r="C8" s="29" t="s">
        <v>5</v>
      </c>
      <c r="D8" s="22">
        <v>8245.27</v>
      </c>
      <c r="E8" s="22" t="s">
        <v>20</v>
      </c>
      <c r="F8" s="22" t="s">
        <v>21</v>
      </c>
      <c r="G8" s="31">
        <v>43565</v>
      </c>
      <c r="H8" s="22" t="s">
        <v>46</v>
      </c>
      <c r="J8" s="17">
        <f t="shared" si="1"/>
        <v>226744925</v>
      </c>
      <c r="K8" s="5">
        <f t="shared" si="2"/>
        <v>0</v>
      </c>
      <c r="L8" s="5">
        <f t="shared" si="3"/>
        <v>0</v>
      </c>
      <c r="M8" s="5">
        <f t="shared" si="4"/>
        <v>226744925</v>
      </c>
      <c r="N8" s="5">
        <f t="shared" si="5"/>
        <v>0</v>
      </c>
      <c r="P8" s="5">
        <v>1500000</v>
      </c>
    </row>
    <row r="9" spans="2:16" ht="15.5" x14ac:dyDescent="0.35">
      <c r="B9" s="22" t="s">
        <v>48</v>
      </c>
      <c r="C9" s="30" t="s">
        <v>6</v>
      </c>
      <c r="D9" s="22">
        <v>1954.41</v>
      </c>
      <c r="E9" s="28" t="s">
        <v>20</v>
      </c>
      <c r="F9" s="22" t="s">
        <v>26</v>
      </c>
      <c r="G9" s="36">
        <v>43697</v>
      </c>
      <c r="H9" s="22" t="s">
        <v>46</v>
      </c>
      <c r="J9" s="17">
        <f t="shared" si="1"/>
        <v>53746275</v>
      </c>
      <c r="K9" s="5">
        <f t="shared" si="2"/>
        <v>0</v>
      </c>
      <c r="L9" s="5">
        <f t="shared" si="3"/>
        <v>0</v>
      </c>
      <c r="M9" s="5">
        <f t="shared" si="4"/>
        <v>0</v>
      </c>
      <c r="N9" s="5">
        <f t="shared" si="5"/>
        <v>53746275</v>
      </c>
      <c r="P9" s="5">
        <v>1500000</v>
      </c>
    </row>
    <row r="10" spans="2:16" x14ac:dyDescent="0.35">
      <c r="B10" s="3" t="s">
        <v>17</v>
      </c>
      <c r="C10" s="4" t="s">
        <v>8</v>
      </c>
      <c r="D10" s="12">
        <v>5000</v>
      </c>
      <c r="E10" s="13" t="s">
        <v>20</v>
      </c>
      <c r="F10" s="13" t="s">
        <v>56</v>
      </c>
      <c r="G10" s="19">
        <v>43783</v>
      </c>
      <c r="H10" s="3"/>
      <c r="J10" s="17">
        <f t="shared" si="1"/>
        <v>137500000</v>
      </c>
      <c r="K10" s="5">
        <f t="shared" ref="K10:K11" si="6">IF(F10="Santa Valentina",J10,0)</f>
        <v>0</v>
      </c>
      <c r="L10" s="5">
        <f t="shared" ref="L10:L11" si="7">IF(F10="Gepco",J10,0)</f>
        <v>0</v>
      </c>
      <c r="M10" s="5">
        <f t="shared" ref="M10:M11" si="8">IF(F10="AGROTEK",J10,0)</f>
        <v>0</v>
      </c>
      <c r="N10" s="5">
        <f t="shared" ref="N10:N11" si="9">IF(F10="R. Berrios",J10,0)</f>
        <v>0</v>
      </c>
      <c r="P10" s="5">
        <v>1500000</v>
      </c>
    </row>
    <row r="11" spans="2:16" ht="15.5" x14ac:dyDescent="0.35">
      <c r="B11" s="32" t="s">
        <v>40</v>
      </c>
      <c r="C11" s="33" t="s">
        <v>9</v>
      </c>
      <c r="D11" s="34">
        <v>6000</v>
      </c>
      <c r="E11" s="23" t="s">
        <v>20</v>
      </c>
      <c r="F11" s="23" t="s">
        <v>26</v>
      </c>
      <c r="G11" s="35">
        <v>43811</v>
      </c>
      <c r="H11" s="23" t="s">
        <v>45</v>
      </c>
      <c r="J11" s="17">
        <f t="shared" si="1"/>
        <v>165000000</v>
      </c>
      <c r="K11" s="5">
        <f t="shared" si="6"/>
        <v>0</v>
      </c>
      <c r="L11" s="5">
        <f t="shared" si="7"/>
        <v>0</v>
      </c>
      <c r="M11" s="5">
        <f t="shared" si="8"/>
        <v>0</v>
      </c>
      <c r="N11" s="5">
        <f t="shared" si="9"/>
        <v>165000000</v>
      </c>
      <c r="P11" s="5">
        <v>1500000</v>
      </c>
    </row>
    <row r="12" spans="2:16" ht="15.5" x14ac:dyDescent="0.35">
      <c r="B12" s="22" t="s">
        <v>55</v>
      </c>
      <c r="C12" s="30" t="s">
        <v>54</v>
      </c>
      <c r="D12" s="22">
        <v>10000</v>
      </c>
      <c r="E12" s="28" t="s">
        <v>38</v>
      </c>
      <c r="F12" s="22" t="s">
        <v>21</v>
      </c>
      <c r="G12" s="36">
        <v>43783</v>
      </c>
      <c r="H12" s="22" t="s">
        <v>46</v>
      </c>
      <c r="J12" s="17">
        <f t="shared" si="1"/>
        <v>275000000</v>
      </c>
      <c r="K12" s="6"/>
      <c r="L12" s="6"/>
      <c r="M12" s="6"/>
      <c r="N12" s="6"/>
      <c r="P12" s="6">
        <v>0</v>
      </c>
    </row>
    <row r="13" spans="2:16" x14ac:dyDescent="0.35">
      <c r="D13" s="15">
        <f>SUM(D6:D11)</f>
        <v>32112.3</v>
      </c>
    </row>
    <row r="14" spans="2:16" x14ac:dyDescent="0.35">
      <c r="B14" s="1" t="s">
        <v>11</v>
      </c>
    </row>
    <row r="15" spans="2:16" x14ac:dyDescent="0.35">
      <c r="B15" s="1"/>
    </row>
    <row r="16" spans="2:16" ht="29" x14ac:dyDescent="0.35">
      <c r="B16" s="2" t="s">
        <v>1</v>
      </c>
      <c r="C16" s="2" t="s">
        <v>0</v>
      </c>
      <c r="D16" s="2" t="s">
        <v>3</v>
      </c>
      <c r="E16" s="2" t="s">
        <v>34</v>
      </c>
      <c r="F16" s="2" t="s">
        <v>33</v>
      </c>
      <c r="G16" s="11" t="s">
        <v>36</v>
      </c>
      <c r="H16" s="16" t="s">
        <v>37</v>
      </c>
    </row>
    <row r="17" spans="2:16" ht="15.5" x14ac:dyDescent="0.35">
      <c r="B17" s="28" t="s">
        <v>12</v>
      </c>
      <c r="C17" s="29" t="s">
        <v>13</v>
      </c>
      <c r="D17" s="30">
        <v>24561.16</v>
      </c>
      <c r="E17" s="22" t="s">
        <v>20</v>
      </c>
      <c r="F17" s="22" t="s">
        <v>18</v>
      </c>
      <c r="G17" s="31">
        <v>43543</v>
      </c>
      <c r="H17" s="22" t="s">
        <v>46</v>
      </c>
      <c r="J17" s="7">
        <f>27500*D17</f>
        <v>675431900</v>
      </c>
      <c r="K17" s="5">
        <f t="shared" ref="K17:K18" si="10">IF(F17="Santa Valentina",J17,0)</f>
        <v>675431900</v>
      </c>
      <c r="L17" s="5">
        <f t="shared" ref="L17:L18" si="11">IF(F17="Gepco",J17,0)</f>
        <v>0</v>
      </c>
      <c r="M17" s="5">
        <f t="shared" ref="M17:M18" si="12">IF(F17="AGROTEK",J17,0)</f>
        <v>0</v>
      </c>
      <c r="N17" s="5">
        <f t="shared" ref="N17:N18" si="13">IF(F17="R. Berrios",J17,0)</f>
        <v>0</v>
      </c>
      <c r="P17" s="5">
        <v>1500000</v>
      </c>
    </row>
    <row r="18" spans="2:16" ht="15.5" x14ac:dyDescent="0.35">
      <c r="B18" s="21" t="s">
        <v>42</v>
      </c>
      <c r="C18" s="24" t="s">
        <v>14</v>
      </c>
      <c r="D18" s="25">
        <v>20000</v>
      </c>
      <c r="E18" s="26" t="s">
        <v>20</v>
      </c>
      <c r="F18" s="26" t="s">
        <v>21</v>
      </c>
      <c r="G18" s="27">
        <v>43628</v>
      </c>
      <c r="H18" s="20" t="s">
        <v>47</v>
      </c>
      <c r="J18" s="7">
        <f>27500*D18</f>
        <v>550000000</v>
      </c>
      <c r="K18" s="5">
        <f t="shared" si="10"/>
        <v>0</v>
      </c>
      <c r="L18" s="5">
        <f t="shared" si="11"/>
        <v>0</v>
      </c>
      <c r="M18" s="5">
        <f t="shared" si="12"/>
        <v>550000000</v>
      </c>
      <c r="N18" s="5">
        <f t="shared" si="13"/>
        <v>0</v>
      </c>
      <c r="P18" s="5">
        <v>1500000</v>
      </c>
    </row>
    <row r="19" spans="2:16" ht="15.5" x14ac:dyDescent="0.35">
      <c r="B19" s="32" t="s">
        <v>15</v>
      </c>
      <c r="C19" s="33" t="s">
        <v>16</v>
      </c>
      <c r="D19" s="34">
        <v>20000</v>
      </c>
      <c r="E19" s="23" t="s">
        <v>38</v>
      </c>
      <c r="F19" s="23" t="s">
        <v>21</v>
      </c>
      <c r="G19" s="35">
        <v>43706</v>
      </c>
      <c r="H19" s="23" t="s">
        <v>35</v>
      </c>
      <c r="J19" s="7">
        <f>27500*D19</f>
        <v>550000000</v>
      </c>
      <c r="K19" s="5">
        <f t="shared" ref="K19" si="14">IF(F19="Santa Valentina",J19,0)</f>
        <v>0</v>
      </c>
      <c r="L19" s="5">
        <f t="shared" ref="L19" si="15">IF(F19="Gepco",J19,0)</f>
        <v>0</v>
      </c>
      <c r="M19" s="5">
        <f t="shared" ref="M19" si="16">IF(F19="AGROTEK",J19,0)</f>
        <v>550000000</v>
      </c>
      <c r="N19" s="5">
        <f t="shared" ref="N19" si="17">IF(F19="R. Berrios",J19,0)</f>
        <v>0</v>
      </c>
      <c r="P19" s="5">
        <v>1500000</v>
      </c>
    </row>
    <row r="20" spans="2:16" ht="15.5" x14ac:dyDescent="0.35">
      <c r="B20" s="28" t="s">
        <v>53</v>
      </c>
      <c r="C20" s="29" t="s">
        <v>57</v>
      </c>
      <c r="D20" s="30">
        <v>20886.650000000001</v>
      </c>
      <c r="E20" s="22" t="s">
        <v>38</v>
      </c>
      <c r="F20" s="22" t="s">
        <v>21</v>
      </c>
      <c r="G20" s="31">
        <v>43752</v>
      </c>
      <c r="H20" s="22" t="s">
        <v>46</v>
      </c>
      <c r="J20" s="7">
        <f>27500*D20</f>
        <v>574382875</v>
      </c>
      <c r="K20" s="5">
        <f t="shared" ref="K20" si="18">IF(F20="Santa Valentina",J20,0)</f>
        <v>0</v>
      </c>
      <c r="L20" s="5">
        <f t="shared" ref="L20" si="19">IF(F20="Gepco",J20,0)</f>
        <v>0</v>
      </c>
      <c r="M20" s="5">
        <f t="shared" ref="M20" si="20">IF(F20="AGROTEK",J20,0)</f>
        <v>574382875</v>
      </c>
      <c r="N20" s="5">
        <f t="shared" ref="N20" si="21">IF(F20="R. Berrios",J20,0)</f>
        <v>0</v>
      </c>
      <c r="P20" s="6">
        <v>0</v>
      </c>
    </row>
    <row r="21" spans="2:16" ht="15.5" x14ac:dyDescent="0.35">
      <c r="B21" s="32" t="s">
        <v>63</v>
      </c>
      <c r="C21" s="33" t="s">
        <v>58</v>
      </c>
      <c r="D21" s="34">
        <v>18000</v>
      </c>
      <c r="E21" s="23" t="s">
        <v>20</v>
      </c>
      <c r="F21" s="23" t="s">
        <v>21</v>
      </c>
      <c r="G21" s="35">
        <v>43752</v>
      </c>
      <c r="H21" s="23" t="s">
        <v>35</v>
      </c>
      <c r="J21" s="7">
        <f>27500*D21</f>
        <v>495000000</v>
      </c>
      <c r="K21" s="5">
        <f t="shared" ref="K21" si="22">IF(F21="Santa Valentina",J21,0)</f>
        <v>0</v>
      </c>
      <c r="L21" s="5">
        <f t="shared" ref="L21" si="23">IF(F21="Gepco",J21,0)</f>
        <v>0</v>
      </c>
      <c r="M21" s="5">
        <f t="shared" ref="M21" si="24">IF(F21="AGROTEK",J21,0)</f>
        <v>495000000</v>
      </c>
      <c r="N21" s="5">
        <f t="shared" ref="N21" si="25">IF(F21="R. Berrios",J21,0)</f>
        <v>0</v>
      </c>
      <c r="P21" s="5">
        <v>1500000</v>
      </c>
    </row>
    <row r="22" spans="2:16" x14ac:dyDescent="0.35">
      <c r="D22" s="15">
        <f>SUM(D17:D21)</f>
        <v>103447.81</v>
      </c>
    </row>
    <row r="24" spans="2:16" x14ac:dyDescent="0.35">
      <c r="B24" s="1" t="s">
        <v>23</v>
      </c>
    </row>
    <row r="26" spans="2:16" ht="29" x14ac:dyDescent="0.35">
      <c r="B26" s="2" t="s">
        <v>1</v>
      </c>
      <c r="C26" s="2" t="s">
        <v>0</v>
      </c>
      <c r="D26" s="2" t="s">
        <v>3</v>
      </c>
      <c r="E26" s="2" t="s">
        <v>34</v>
      </c>
      <c r="F26" s="2" t="s">
        <v>33</v>
      </c>
      <c r="G26" s="11" t="s">
        <v>36</v>
      </c>
      <c r="H26" s="16" t="s">
        <v>37</v>
      </c>
    </row>
    <row r="27" spans="2:16" x14ac:dyDescent="0.35">
      <c r="B27" s="3" t="s">
        <v>25</v>
      </c>
      <c r="C27" s="10" t="s">
        <v>24</v>
      </c>
      <c r="D27" s="3">
        <v>2000</v>
      </c>
      <c r="E27" s="13" t="s">
        <v>20</v>
      </c>
      <c r="F27" s="3" t="s">
        <v>21</v>
      </c>
      <c r="G27" s="3"/>
      <c r="H27" s="3"/>
      <c r="J27" s="7">
        <f>27500*D27</f>
        <v>55000000</v>
      </c>
      <c r="K27" s="5">
        <f t="shared" ref="K27:K28" si="26">IF(F27="Santa Valentina",J27,0)</f>
        <v>0</v>
      </c>
      <c r="L27" s="5">
        <f t="shared" ref="L27:L28" si="27">IF(F27="Gepco",J27,0)</f>
        <v>0</v>
      </c>
      <c r="M27" s="5">
        <f t="shared" ref="M27:M28" si="28">IF(F27="AGROTEK",J27,0)</f>
        <v>55000000</v>
      </c>
      <c r="N27" s="5">
        <f t="shared" ref="N27:N28" si="29">IF(F27="R. Berrios",J27,0)</f>
        <v>0</v>
      </c>
      <c r="P27" s="5">
        <v>1500000</v>
      </c>
    </row>
    <row r="28" spans="2:16" x14ac:dyDescent="0.35">
      <c r="B28" s="3" t="s">
        <v>43</v>
      </c>
      <c r="C28" s="10" t="s">
        <v>24</v>
      </c>
      <c r="D28" s="3">
        <v>2000</v>
      </c>
      <c r="E28" s="13" t="s">
        <v>20</v>
      </c>
      <c r="F28" s="3" t="s">
        <v>26</v>
      </c>
      <c r="G28" s="3"/>
      <c r="H28" s="3"/>
      <c r="J28" s="7">
        <f>27500*D28</f>
        <v>55000000</v>
      </c>
      <c r="K28" s="5">
        <f t="shared" si="26"/>
        <v>0</v>
      </c>
      <c r="L28" s="5">
        <f t="shared" si="27"/>
        <v>0</v>
      </c>
      <c r="M28" s="5">
        <f t="shared" si="28"/>
        <v>0</v>
      </c>
      <c r="N28" s="5">
        <f t="shared" si="29"/>
        <v>55000000</v>
      </c>
      <c r="P28" s="5">
        <v>1500000</v>
      </c>
    </row>
    <row r="29" spans="2:16" x14ac:dyDescent="0.35">
      <c r="D29" s="15">
        <f>SUM(D27:D28)</f>
        <v>4000</v>
      </c>
      <c r="E29" s="18"/>
    </row>
    <row r="30" spans="2:16" x14ac:dyDescent="0.35">
      <c r="J30" s="7">
        <f>SUM(J6:J28)</f>
        <v>4112903025</v>
      </c>
      <c r="K30" s="5">
        <f>SUM(K6:K28)</f>
        <v>851778950</v>
      </c>
      <c r="L30" s="5">
        <f>SUM(L6:L28)</f>
        <v>123750000</v>
      </c>
      <c r="M30" s="5">
        <f>SUM(M6:M28)</f>
        <v>2451127800</v>
      </c>
      <c r="N30" s="5">
        <f>SUM(N6:N28)</f>
        <v>273746275</v>
      </c>
      <c r="P30" s="7">
        <f>SUM(P6:P28)</f>
        <v>18000000</v>
      </c>
    </row>
    <row r="31" spans="2:16" x14ac:dyDescent="0.35">
      <c r="K31" s="9">
        <f>K30/J30</f>
        <v>0.20709920579758867</v>
      </c>
      <c r="L31" s="9">
        <f>L30/J30</f>
        <v>3.0088236763131559E-2</v>
      </c>
      <c r="M31" s="9">
        <f>M30/J30</f>
        <v>0.59596051380277804</v>
      </c>
      <c r="N31" s="9">
        <f>N30/J30</f>
        <v>6.6557921092729871E-2</v>
      </c>
    </row>
    <row r="33" spans="2:15" x14ac:dyDescent="0.35">
      <c r="B33" s="2" t="s">
        <v>30</v>
      </c>
      <c r="J33" s="7">
        <f>J30</f>
        <v>4112903025</v>
      </c>
      <c r="K33" s="5">
        <f>K30</f>
        <v>851778950</v>
      </c>
      <c r="L33" s="5">
        <f t="shared" ref="L33:N33" si="30">L30</f>
        <v>123750000</v>
      </c>
      <c r="M33" s="5">
        <f t="shared" si="30"/>
        <v>2451127800</v>
      </c>
      <c r="N33" s="5">
        <f t="shared" si="30"/>
        <v>273746275</v>
      </c>
    </row>
    <row r="34" spans="2:15" x14ac:dyDescent="0.35">
      <c r="B34" s="2" t="s">
        <v>29</v>
      </c>
      <c r="J34" s="7">
        <f>J33*0.75</f>
        <v>3084677268.75</v>
      </c>
      <c r="K34" s="5">
        <f t="shared" ref="K34:N34" si="31">K33*0.75</f>
        <v>638834212.5</v>
      </c>
      <c r="L34" s="5">
        <f t="shared" si="31"/>
        <v>92812500</v>
      </c>
      <c r="M34" s="5">
        <f t="shared" si="31"/>
        <v>1838345850</v>
      </c>
      <c r="N34" s="5">
        <f t="shared" si="31"/>
        <v>205309706.25</v>
      </c>
    </row>
    <row r="35" spans="2:15" x14ac:dyDescent="0.35">
      <c r="B35" s="8">
        <v>0.02</v>
      </c>
      <c r="J35" s="7">
        <f>J34*0.02</f>
        <v>61693545.375</v>
      </c>
      <c r="K35" s="5">
        <f t="shared" ref="K35:N35" si="32">K34*0.02</f>
        <v>12776684.25</v>
      </c>
      <c r="L35" s="5">
        <f t="shared" si="32"/>
        <v>1856250</v>
      </c>
      <c r="M35" s="5">
        <f t="shared" si="32"/>
        <v>36766917</v>
      </c>
      <c r="N35" s="5">
        <f t="shared" si="32"/>
        <v>4106194.125</v>
      </c>
      <c r="O35" s="6"/>
    </row>
    <row r="37" spans="2:15" x14ac:dyDescent="0.35">
      <c r="B37" t="s">
        <v>51</v>
      </c>
    </row>
    <row r="39" spans="2:15" x14ac:dyDescent="0.35">
      <c r="B39" t="s">
        <v>52</v>
      </c>
    </row>
    <row r="42" spans="2:15" x14ac:dyDescent="0.35">
      <c r="B42" s="1" t="s">
        <v>62</v>
      </c>
    </row>
    <row r="44" spans="2:15" ht="22" customHeight="1" x14ac:dyDescent="0.35">
      <c r="B44" s="2" t="s">
        <v>1</v>
      </c>
      <c r="C44" s="2" t="s">
        <v>0</v>
      </c>
      <c r="D44" s="2" t="s">
        <v>3</v>
      </c>
      <c r="E44" s="2" t="s">
        <v>34</v>
      </c>
      <c r="F44" s="2" t="s">
        <v>33</v>
      </c>
      <c r="G44" s="11" t="s">
        <v>36</v>
      </c>
      <c r="H44" s="2" t="s">
        <v>37</v>
      </c>
      <c r="I44" s="2" t="s">
        <v>77</v>
      </c>
      <c r="J44" s="2" t="s">
        <v>78</v>
      </c>
    </row>
    <row r="45" spans="2:15" ht="15.5" x14ac:dyDescent="0.35">
      <c r="B45" s="3" t="s">
        <v>70</v>
      </c>
      <c r="C45" s="3" t="s">
        <v>50</v>
      </c>
      <c r="D45" s="42">
        <v>15163.06</v>
      </c>
      <c r="E45" s="3" t="s">
        <v>22</v>
      </c>
      <c r="F45" s="3" t="s">
        <v>19</v>
      </c>
      <c r="G45" s="3"/>
      <c r="H45" s="3" t="s">
        <v>82</v>
      </c>
      <c r="I45" s="3">
        <v>19.23</v>
      </c>
      <c r="J45" s="41">
        <f>D45/I45</f>
        <v>788.51066042641696</v>
      </c>
      <c r="M45" t="s">
        <v>101</v>
      </c>
    </row>
    <row r="46" spans="2:15" ht="15.5" x14ac:dyDescent="0.35">
      <c r="B46" s="3" t="s">
        <v>41</v>
      </c>
      <c r="C46" s="3" t="s">
        <v>5</v>
      </c>
      <c r="D46" s="42">
        <v>8245.27</v>
      </c>
      <c r="E46" s="3" t="s">
        <v>20</v>
      </c>
      <c r="F46" s="3" t="s">
        <v>21</v>
      </c>
      <c r="G46" s="3">
        <v>43565</v>
      </c>
      <c r="H46" s="28" t="s">
        <v>71</v>
      </c>
      <c r="I46" s="3">
        <v>98.13</v>
      </c>
      <c r="J46" s="41">
        <f>D46/I46</f>
        <v>84.023947824314689</v>
      </c>
      <c r="L46" s="48">
        <f>D46*28500</f>
        <v>234990195</v>
      </c>
    </row>
    <row r="47" spans="2:15" ht="15.5" x14ac:dyDescent="0.35">
      <c r="B47" s="3" t="s">
        <v>48</v>
      </c>
      <c r="C47" s="3" t="s">
        <v>6</v>
      </c>
      <c r="D47" s="42">
        <v>1954.41</v>
      </c>
      <c r="E47" s="3" t="s">
        <v>20</v>
      </c>
      <c r="F47" s="3" t="s">
        <v>26</v>
      </c>
      <c r="G47" s="3">
        <v>43697</v>
      </c>
      <c r="H47" s="28" t="s">
        <v>71</v>
      </c>
      <c r="I47" s="3"/>
      <c r="L47" s="48">
        <f t="shared" ref="L47:L51" si="33">D47*28500</f>
        <v>55700685</v>
      </c>
    </row>
    <row r="48" spans="2:15" ht="15.5" x14ac:dyDescent="0.35">
      <c r="B48" s="3" t="s">
        <v>12</v>
      </c>
      <c r="C48" s="3" t="s">
        <v>13</v>
      </c>
      <c r="D48" s="42">
        <v>24561.16</v>
      </c>
      <c r="E48" s="3" t="s">
        <v>20</v>
      </c>
      <c r="F48" s="3" t="s">
        <v>18</v>
      </c>
      <c r="G48" s="3">
        <v>43543</v>
      </c>
      <c r="H48" s="28" t="s">
        <v>71</v>
      </c>
      <c r="I48" s="3">
        <v>201.67</v>
      </c>
      <c r="J48" s="41">
        <f>D48/I48</f>
        <v>121.78886299400011</v>
      </c>
      <c r="L48" s="48">
        <f t="shared" si="33"/>
        <v>699993060</v>
      </c>
    </row>
    <row r="49" spans="1:12" ht="15.5" x14ac:dyDescent="0.35">
      <c r="B49" s="3" t="s">
        <v>83</v>
      </c>
      <c r="C49" s="3" t="s">
        <v>57</v>
      </c>
      <c r="D49" s="42">
        <v>20886.650000000001</v>
      </c>
      <c r="E49" s="3" t="s">
        <v>38</v>
      </c>
      <c r="F49" s="3" t="s">
        <v>21</v>
      </c>
      <c r="G49" s="3">
        <v>43752</v>
      </c>
      <c r="H49" s="28" t="s">
        <v>71</v>
      </c>
      <c r="I49" s="3">
        <v>269.44</v>
      </c>
      <c r="J49" s="41">
        <f>D49/I49</f>
        <v>77.518742577197159</v>
      </c>
      <c r="L49" s="48">
        <f t="shared" si="33"/>
        <v>595269525</v>
      </c>
    </row>
    <row r="50" spans="1:12" ht="15.5" x14ac:dyDescent="0.35">
      <c r="B50" s="3" t="s">
        <v>55</v>
      </c>
      <c r="C50" s="3" t="s">
        <v>54</v>
      </c>
      <c r="D50" s="42">
        <v>10338.69</v>
      </c>
      <c r="E50" s="3" t="s">
        <v>38</v>
      </c>
      <c r="F50" s="3" t="s">
        <v>21</v>
      </c>
      <c r="G50" s="3">
        <v>43783</v>
      </c>
      <c r="H50" s="28" t="s">
        <v>71</v>
      </c>
      <c r="L50" s="48">
        <f t="shared" si="33"/>
        <v>294652665</v>
      </c>
    </row>
    <row r="51" spans="1:12" ht="15.5" x14ac:dyDescent="0.35">
      <c r="B51" s="3" t="s">
        <v>80</v>
      </c>
      <c r="C51" s="3" t="s">
        <v>16</v>
      </c>
      <c r="D51" s="42">
        <v>21576.19</v>
      </c>
      <c r="E51" s="3"/>
      <c r="F51" s="3"/>
      <c r="G51" s="3"/>
      <c r="H51" s="28" t="s">
        <v>71</v>
      </c>
      <c r="I51" s="3">
        <v>23.18</v>
      </c>
      <c r="J51" s="41">
        <f>D51/I51</f>
        <v>930.81061259706644</v>
      </c>
      <c r="L51" s="48">
        <f t="shared" si="33"/>
        <v>614921415</v>
      </c>
    </row>
    <row r="53" spans="1:12" x14ac:dyDescent="0.35">
      <c r="B53" s="1" t="s">
        <v>59</v>
      </c>
      <c r="C53" s="14" t="s">
        <v>60</v>
      </c>
      <c r="D53" s="43">
        <f>SUM(D45:D52)</f>
        <v>102725.43000000001</v>
      </c>
      <c r="E53" s="1"/>
      <c r="F53" s="1"/>
      <c r="G53" s="1"/>
    </row>
    <row r="54" spans="1:12" x14ac:dyDescent="0.35">
      <c r="C54" s="14" t="s">
        <v>61</v>
      </c>
      <c r="D54" s="37">
        <f>28252.33*D53</f>
        <v>2902232747.7519002</v>
      </c>
      <c r="I54">
        <v>2292655107.7292004</v>
      </c>
      <c r="L54" s="48">
        <f>SUM(L46:L53)</f>
        <v>2495527545</v>
      </c>
    </row>
    <row r="56" spans="1:12" ht="15" thickBot="1" x14ac:dyDescent="0.4"/>
    <row r="57" spans="1:12" ht="16.5" thickTop="1" thickBot="1" x14ac:dyDescent="0.4">
      <c r="B57" s="60" t="s">
        <v>64</v>
      </c>
    </row>
    <row r="58" spans="1:12" ht="15" thickTop="1" x14ac:dyDescent="0.35"/>
    <row r="59" spans="1:12" ht="15" customHeight="1" x14ac:dyDescent="0.35">
      <c r="B59" s="1" t="s">
        <v>10</v>
      </c>
    </row>
    <row r="60" spans="1:12" ht="17" customHeight="1" x14ac:dyDescent="0.35"/>
    <row r="61" spans="1:12" ht="19" customHeight="1" x14ac:dyDescent="0.35">
      <c r="B61" s="2" t="s">
        <v>1</v>
      </c>
      <c r="C61" s="2" t="s">
        <v>0</v>
      </c>
      <c r="D61" s="2" t="s">
        <v>3</v>
      </c>
      <c r="E61" s="2" t="s">
        <v>34</v>
      </c>
      <c r="F61" s="2" t="s">
        <v>33</v>
      </c>
      <c r="G61" s="2" t="s">
        <v>36</v>
      </c>
      <c r="H61" s="2" t="s">
        <v>37</v>
      </c>
      <c r="I61" s="2" t="s">
        <v>77</v>
      </c>
      <c r="J61" s="2" t="s">
        <v>78</v>
      </c>
    </row>
    <row r="62" spans="1:12" ht="15.5" x14ac:dyDescent="0.35">
      <c r="B62" s="21" t="s">
        <v>7</v>
      </c>
      <c r="C62" s="21" t="s">
        <v>65</v>
      </c>
      <c r="D62" s="38">
        <v>6412.62</v>
      </c>
      <c r="E62" s="26" t="s">
        <v>20</v>
      </c>
      <c r="F62" s="21"/>
      <c r="G62" s="27">
        <v>43865</v>
      </c>
      <c r="H62" s="21" t="s">
        <v>47</v>
      </c>
      <c r="I62" s="20">
        <v>2.2200000000000002</v>
      </c>
      <c r="J62" s="40">
        <f>D62/I62</f>
        <v>2888.567567567567</v>
      </c>
    </row>
    <row r="63" spans="1:12" ht="15.5" x14ac:dyDescent="0.35">
      <c r="A63">
        <v>1</v>
      </c>
      <c r="B63" s="28" t="s">
        <v>72</v>
      </c>
      <c r="C63" s="28" t="s">
        <v>66</v>
      </c>
      <c r="D63" s="45">
        <v>9263.1299999999992</v>
      </c>
      <c r="E63" s="22" t="s">
        <v>20</v>
      </c>
      <c r="F63" s="54" t="s">
        <v>21</v>
      </c>
      <c r="G63" s="31">
        <v>43910</v>
      </c>
      <c r="H63" s="22" t="s">
        <v>46</v>
      </c>
      <c r="I63" s="22">
        <v>91.24</v>
      </c>
      <c r="J63" s="39">
        <f>D63/I63</f>
        <v>101.5248794388426</v>
      </c>
    </row>
    <row r="64" spans="1:12" ht="15.5" x14ac:dyDescent="0.35">
      <c r="B64" s="21" t="s">
        <v>75</v>
      </c>
      <c r="C64" s="26" t="s">
        <v>106</v>
      </c>
      <c r="D64" s="38">
        <v>8500</v>
      </c>
      <c r="E64" s="21"/>
      <c r="F64" s="21"/>
      <c r="G64" s="27">
        <v>44019</v>
      </c>
      <c r="H64" s="21" t="s">
        <v>47</v>
      </c>
      <c r="I64" s="26"/>
      <c r="J64" s="21"/>
    </row>
    <row r="65" spans="1:20" ht="15.5" x14ac:dyDescent="0.35">
      <c r="B65" s="21" t="s">
        <v>88</v>
      </c>
      <c r="C65" s="26" t="s">
        <v>67</v>
      </c>
      <c r="D65" s="38">
        <v>1772</v>
      </c>
      <c r="E65" s="21"/>
      <c r="F65" s="21"/>
      <c r="G65" s="27">
        <v>44125</v>
      </c>
      <c r="H65" s="21" t="s">
        <v>89</v>
      </c>
      <c r="I65" s="26">
        <v>1.81</v>
      </c>
      <c r="J65" s="21"/>
      <c r="K65" s="44" t="s">
        <v>81</v>
      </c>
      <c r="L65" s="47">
        <v>44159</v>
      </c>
    </row>
    <row r="66" spans="1:20" x14ac:dyDescent="0.35">
      <c r="D66" s="18"/>
      <c r="G66" s="53"/>
    </row>
    <row r="67" spans="1:20" x14ac:dyDescent="0.35">
      <c r="D67" s="18"/>
      <c r="G67" s="53"/>
    </row>
    <row r="68" spans="1:20" x14ac:dyDescent="0.35">
      <c r="B68" s="1" t="s">
        <v>11</v>
      </c>
      <c r="G68" s="18"/>
    </row>
    <row r="69" spans="1:20" x14ac:dyDescent="0.35">
      <c r="B69" s="2" t="s">
        <v>1</v>
      </c>
      <c r="C69" s="2" t="s">
        <v>0</v>
      </c>
      <c r="D69" s="2" t="s">
        <v>3</v>
      </c>
      <c r="E69" s="2" t="s">
        <v>34</v>
      </c>
      <c r="F69" s="2" t="s">
        <v>33</v>
      </c>
      <c r="G69" s="2" t="s">
        <v>36</v>
      </c>
      <c r="H69" s="2" t="s">
        <v>37</v>
      </c>
      <c r="I69" s="2" t="s">
        <v>77</v>
      </c>
      <c r="J69" s="2" t="s">
        <v>78</v>
      </c>
    </row>
    <row r="70" spans="1:20" ht="15.5" x14ac:dyDescent="0.35">
      <c r="A70">
        <v>2</v>
      </c>
      <c r="B70" s="28" t="s">
        <v>76</v>
      </c>
      <c r="C70" s="22" t="s">
        <v>58</v>
      </c>
      <c r="D70" s="46">
        <v>18679.91</v>
      </c>
      <c r="E70" s="22" t="s">
        <v>20</v>
      </c>
      <c r="F70" s="22" t="s">
        <v>21</v>
      </c>
      <c r="G70" s="54"/>
      <c r="H70" s="22" t="s">
        <v>46</v>
      </c>
      <c r="I70" s="22">
        <v>95.92</v>
      </c>
      <c r="J70" s="39">
        <f>D70/I70</f>
        <v>194.74468306922435</v>
      </c>
    </row>
    <row r="71" spans="1:20" ht="15.5" x14ac:dyDescent="0.35">
      <c r="B71" s="32" t="s">
        <v>79</v>
      </c>
      <c r="C71" s="23" t="s">
        <v>84</v>
      </c>
      <c r="D71" s="52">
        <v>17524</v>
      </c>
      <c r="E71" s="23" t="s">
        <v>20</v>
      </c>
      <c r="F71" s="23" t="s">
        <v>101</v>
      </c>
      <c r="G71" s="55">
        <v>43943</v>
      </c>
      <c r="H71" s="23" t="s">
        <v>35</v>
      </c>
      <c r="I71" s="23">
        <v>7.13</v>
      </c>
      <c r="J71" s="51">
        <f>D71/I71</f>
        <v>2457.7840112201966</v>
      </c>
      <c r="L71" s="47">
        <v>43979</v>
      </c>
    </row>
    <row r="72" spans="1:20" ht="15.5" x14ac:dyDescent="0.35">
      <c r="B72" s="32" t="s">
        <v>86</v>
      </c>
      <c r="C72" s="23" t="s">
        <v>68</v>
      </c>
      <c r="D72" s="52">
        <v>19341</v>
      </c>
      <c r="E72" s="23" t="s">
        <v>20</v>
      </c>
      <c r="F72" s="23" t="s">
        <v>21</v>
      </c>
      <c r="G72" s="55">
        <v>44056</v>
      </c>
      <c r="H72" s="23" t="s">
        <v>35</v>
      </c>
      <c r="I72" s="23">
        <v>96.94</v>
      </c>
      <c r="J72" s="51">
        <f t="shared" ref="J72:J73" si="34">D72/I72</f>
        <v>199.51516401898081</v>
      </c>
      <c r="K72" s="44" t="s">
        <v>81</v>
      </c>
      <c r="L72" s="47">
        <v>44131</v>
      </c>
    </row>
    <row r="73" spans="1:20" ht="15.5" x14ac:dyDescent="0.35">
      <c r="B73" s="32" t="s">
        <v>87</v>
      </c>
      <c r="C73" s="23" t="s">
        <v>69</v>
      </c>
      <c r="D73" s="52">
        <v>16909</v>
      </c>
      <c r="E73" s="23" t="s">
        <v>20</v>
      </c>
      <c r="F73" s="23" t="s">
        <v>101</v>
      </c>
      <c r="G73" s="55">
        <v>44176</v>
      </c>
      <c r="H73" s="23" t="s">
        <v>35</v>
      </c>
      <c r="I73" s="23">
        <v>28.89</v>
      </c>
      <c r="J73" s="51">
        <f t="shared" si="34"/>
        <v>585.28902734510211</v>
      </c>
      <c r="K73" s="44" t="s">
        <v>81</v>
      </c>
      <c r="L73" s="47">
        <v>44175</v>
      </c>
    </row>
    <row r="74" spans="1:20" ht="15.5" x14ac:dyDescent="0.35">
      <c r="A74">
        <v>3</v>
      </c>
      <c r="B74" s="28" t="s">
        <v>74</v>
      </c>
      <c r="C74" s="22" t="s">
        <v>73</v>
      </c>
      <c r="D74" s="46">
        <v>24000</v>
      </c>
      <c r="E74" s="22" t="s">
        <v>20</v>
      </c>
      <c r="F74" s="22" t="s">
        <v>101</v>
      </c>
      <c r="G74" s="56">
        <v>44176</v>
      </c>
      <c r="H74" s="22" t="s">
        <v>46</v>
      </c>
      <c r="I74" s="22"/>
      <c r="J74" s="22"/>
      <c r="L74" s="47">
        <v>44007</v>
      </c>
      <c r="P74" s="50" t="s">
        <v>102</v>
      </c>
      <c r="T74" s="50" t="s">
        <v>104</v>
      </c>
    </row>
    <row r="75" spans="1:20" x14ac:dyDescent="0.35">
      <c r="C75" s="18"/>
    </row>
    <row r="76" spans="1:20" x14ac:dyDescent="0.35">
      <c r="C76" s="18"/>
    </row>
    <row r="77" spans="1:20" ht="15.5" x14ac:dyDescent="0.35">
      <c r="A77">
        <v>4</v>
      </c>
      <c r="B77" s="28" t="s">
        <v>7</v>
      </c>
      <c r="C77" s="29" t="s">
        <v>103</v>
      </c>
      <c r="D77" s="46">
        <v>6412.62</v>
      </c>
      <c r="E77" s="22" t="s">
        <v>20</v>
      </c>
      <c r="F77" s="22" t="s">
        <v>105</v>
      </c>
      <c r="G77" s="31">
        <v>43515</v>
      </c>
      <c r="H77" s="22" t="s">
        <v>46</v>
      </c>
      <c r="I77" s="22"/>
      <c r="J77" s="22"/>
    </row>
    <row r="78" spans="1:20" x14ac:dyDescent="0.35">
      <c r="C78" s="49"/>
    </row>
    <row r="79" spans="1:20" ht="15.5" x14ac:dyDescent="0.35">
      <c r="B79" s="59" t="s">
        <v>90</v>
      </c>
    </row>
    <row r="81" spans="1:12" x14ac:dyDescent="0.35">
      <c r="B81" s="1" t="s">
        <v>10</v>
      </c>
    </row>
    <row r="82" spans="1:12" ht="16" thickBot="1" x14ac:dyDescent="0.4">
      <c r="B82" s="61" t="s">
        <v>1</v>
      </c>
      <c r="C82" s="61" t="s">
        <v>0</v>
      </c>
      <c r="D82" s="61" t="s">
        <v>3</v>
      </c>
      <c r="E82" s="61" t="s">
        <v>34</v>
      </c>
      <c r="F82" s="61" t="s">
        <v>33</v>
      </c>
      <c r="G82" s="61" t="s">
        <v>36</v>
      </c>
      <c r="H82" s="61" t="s">
        <v>37</v>
      </c>
      <c r="I82" s="62" t="s">
        <v>77</v>
      </c>
      <c r="J82" s="62" t="s">
        <v>78</v>
      </c>
    </row>
    <row r="83" spans="1:12" ht="16" thickTop="1" x14ac:dyDescent="0.35">
      <c r="A83" t="s">
        <v>115</v>
      </c>
      <c r="B83" s="32" t="s">
        <v>113</v>
      </c>
      <c r="C83" s="23" t="s">
        <v>91</v>
      </c>
      <c r="D83" s="52">
        <v>1772</v>
      </c>
      <c r="E83" s="23" t="s">
        <v>20</v>
      </c>
      <c r="F83" s="23" t="s">
        <v>101</v>
      </c>
      <c r="G83" s="55">
        <v>44370</v>
      </c>
      <c r="H83" s="23" t="s">
        <v>45</v>
      </c>
      <c r="I83" s="23">
        <v>1.81</v>
      </c>
      <c r="J83" s="51">
        <f t="shared" ref="J83" si="35">D83/I83</f>
        <v>979.00552486187837</v>
      </c>
    </row>
    <row r="84" spans="1:12" ht="15.5" x14ac:dyDescent="0.35">
      <c r="A84" t="s">
        <v>114</v>
      </c>
      <c r="B84" s="3" t="s">
        <v>108</v>
      </c>
      <c r="C84" s="13" t="s">
        <v>92</v>
      </c>
      <c r="D84" s="3"/>
      <c r="E84" s="3"/>
      <c r="F84" s="3"/>
      <c r="G84" s="19">
        <v>44389</v>
      </c>
      <c r="H84" s="3"/>
      <c r="I84" s="3"/>
      <c r="J84" s="3"/>
      <c r="K84" s="57" t="s">
        <v>107</v>
      </c>
    </row>
    <row r="85" spans="1:12" ht="15.5" x14ac:dyDescent="0.35">
      <c r="A85" t="s">
        <v>115</v>
      </c>
      <c r="B85" s="3" t="s">
        <v>93</v>
      </c>
      <c r="C85" s="13" t="s">
        <v>94</v>
      </c>
      <c r="D85" s="3"/>
      <c r="E85" s="3"/>
      <c r="F85" s="3"/>
      <c r="G85" s="3"/>
      <c r="H85" s="3"/>
      <c r="I85" s="3"/>
      <c r="J85" s="3"/>
      <c r="K85" s="57" t="s">
        <v>107</v>
      </c>
      <c r="L85" t="s">
        <v>117</v>
      </c>
    </row>
    <row r="86" spans="1:12" ht="15.5" x14ac:dyDescent="0.35">
      <c r="A86" t="s">
        <v>114</v>
      </c>
      <c r="B86" s="3" t="s">
        <v>95</v>
      </c>
      <c r="C86" s="13" t="s">
        <v>96</v>
      </c>
      <c r="D86" s="3"/>
      <c r="E86" s="3"/>
      <c r="F86" s="3"/>
      <c r="G86" s="3"/>
      <c r="H86" s="3"/>
      <c r="I86" s="3"/>
      <c r="J86" s="3"/>
      <c r="K86" s="57" t="s">
        <v>107</v>
      </c>
    </row>
    <row r="87" spans="1:12" x14ac:dyDescent="0.35">
      <c r="C87" s="18"/>
    </row>
    <row r="88" spans="1:12" x14ac:dyDescent="0.35">
      <c r="B88" s="1" t="s">
        <v>11</v>
      </c>
      <c r="C88" s="18"/>
    </row>
    <row r="89" spans="1:12" x14ac:dyDescent="0.35">
      <c r="B89" s="2" t="s">
        <v>1</v>
      </c>
      <c r="C89" s="2" t="s">
        <v>0</v>
      </c>
      <c r="D89" s="2" t="s">
        <v>3</v>
      </c>
      <c r="E89" s="2" t="s">
        <v>34</v>
      </c>
      <c r="F89" s="2" t="s">
        <v>33</v>
      </c>
      <c r="G89" s="2" t="s">
        <v>36</v>
      </c>
      <c r="H89" s="2" t="s">
        <v>37</v>
      </c>
      <c r="I89" s="2" t="s">
        <v>77</v>
      </c>
      <c r="J89" s="2" t="s">
        <v>78</v>
      </c>
    </row>
    <row r="90" spans="1:12" ht="15.5" x14ac:dyDescent="0.35">
      <c r="B90" s="3" t="s">
        <v>100</v>
      </c>
      <c r="C90" s="13" t="s">
        <v>97</v>
      </c>
      <c r="D90" s="3"/>
      <c r="E90" s="13" t="s">
        <v>20</v>
      </c>
      <c r="F90" s="3"/>
      <c r="G90" s="3"/>
      <c r="H90" s="3"/>
      <c r="I90" s="3"/>
      <c r="J90" s="3"/>
      <c r="K90" s="57" t="s">
        <v>116</v>
      </c>
    </row>
    <row r="91" spans="1:12" x14ac:dyDescent="0.35">
      <c r="B91" t="s">
        <v>136</v>
      </c>
      <c r="C91" s="13" t="s">
        <v>98</v>
      </c>
      <c r="D91" s="3"/>
      <c r="E91" s="3"/>
      <c r="F91" s="3"/>
      <c r="G91" s="3"/>
      <c r="H91" s="3"/>
      <c r="I91" s="3"/>
      <c r="J91" s="3"/>
    </row>
    <row r="92" spans="1:12" ht="15.5" x14ac:dyDescent="0.35">
      <c r="A92" s="59">
        <v>1</v>
      </c>
      <c r="B92" s="3" t="s">
        <v>137</v>
      </c>
      <c r="C92" s="13" t="s">
        <v>99</v>
      </c>
      <c r="D92" s="3"/>
      <c r="E92" s="3"/>
      <c r="F92" s="3"/>
      <c r="G92" s="3"/>
      <c r="H92" s="3"/>
      <c r="I92" s="3"/>
      <c r="J92" s="3"/>
      <c r="K92" s="57" t="s">
        <v>107</v>
      </c>
      <c r="L92" s="63" t="s">
        <v>118</v>
      </c>
    </row>
    <row r="94" spans="1:12" x14ac:dyDescent="0.35">
      <c r="A94">
        <v>2</v>
      </c>
      <c r="B94" t="s">
        <v>119</v>
      </c>
    </row>
    <row r="96" spans="1:12" x14ac:dyDescent="0.35">
      <c r="A96" s="18" t="s">
        <v>127</v>
      </c>
      <c r="B96" t="s">
        <v>120</v>
      </c>
    </row>
    <row r="97" spans="1:10" x14ac:dyDescent="0.35">
      <c r="A97" s="18" t="s">
        <v>128</v>
      </c>
      <c r="B97" t="s">
        <v>121</v>
      </c>
    </row>
    <row r="98" spans="1:10" x14ac:dyDescent="0.35">
      <c r="A98" s="18" t="s">
        <v>129</v>
      </c>
      <c r="B98" t="s">
        <v>122</v>
      </c>
    </row>
    <row r="99" spans="1:10" x14ac:dyDescent="0.35">
      <c r="A99" s="18" t="s">
        <v>133</v>
      </c>
      <c r="B99" t="s">
        <v>134</v>
      </c>
    </row>
    <row r="101" spans="1:10" x14ac:dyDescent="0.35">
      <c r="A101">
        <v>3</v>
      </c>
      <c r="B101" t="s">
        <v>123</v>
      </c>
    </row>
    <row r="103" spans="1:10" x14ac:dyDescent="0.35">
      <c r="A103" s="18" t="s">
        <v>130</v>
      </c>
      <c r="B103" t="s">
        <v>124</v>
      </c>
    </row>
    <row r="104" spans="1:10" x14ac:dyDescent="0.35">
      <c r="A104" s="18" t="s">
        <v>131</v>
      </c>
      <c r="B104" t="s">
        <v>125</v>
      </c>
    </row>
    <row r="105" spans="1:10" x14ac:dyDescent="0.35">
      <c r="A105" s="18" t="s">
        <v>132</v>
      </c>
      <c r="B105" t="s">
        <v>111</v>
      </c>
      <c r="C105" t="s">
        <v>126</v>
      </c>
    </row>
    <row r="106" spans="1:10" x14ac:dyDescent="0.35">
      <c r="B106" t="s">
        <v>109</v>
      </c>
    </row>
    <row r="107" spans="1:10" x14ac:dyDescent="0.35">
      <c r="B107" t="s">
        <v>135</v>
      </c>
    </row>
    <row r="111" spans="1:10" x14ac:dyDescent="0.35">
      <c r="B111" s="2" t="s">
        <v>1</v>
      </c>
      <c r="C111" s="2" t="s">
        <v>0</v>
      </c>
      <c r="D111" s="2" t="s">
        <v>3</v>
      </c>
      <c r="E111" s="2" t="s">
        <v>34</v>
      </c>
      <c r="F111" s="2" t="s">
        <v>33</v>
      </c>
      <c r="G111" s="2" t="s">
        <v>36</v>
      </c>
      <c r="H111" s="2" t="s">
        <v>37</v>
      </c>
      <c r="I111" s="2" t="s">
        <v>77</v>
      </c>
      <c r="J111" s="2" t="s">
        <v>78</v>
      </c>
    </row>
    <row r="112" spans="1:10" x14ac:dyDescent="0.35">
      <c r="B112" s="3" t="s">
        <v>70</v>
      </c>
      <c r="C112" s="3" t="s">
        <v>50</v>
      </c>
      <c r="D112" s="42">
        <v>15163.06</v>
      </c>
      <c r="E112" s="3" t="s">
        <v>22</v>
      </c>
      <c r="F112" s="3" t="s">
        <v>19</v>
      </c>
      <c r="G112" s="3"/>
      <c r="H112" s="3" t="s">
        <v>82</v>
      </c>
      <c r="I112" s="3">
        <v>19.23</v>
      </c>
      <c r="J112" s="64">
        <f>D112/I112</f>
        <v>788.51066042641696</v>
      </c>
    </row>
    <row r="113" spans="2:11" x14ac:dyDescent="0.35">
      <c r="B113" s="3" t="s">
        <v>72</v>
      </c>
      <c r="C113" s="3" t="s">
        <v>66</v>
      </c>
      <c r="D113" s="42">
        <v>9263.1299999999992</v>
      </c>
      <c r="E113" s="3" t="s">
        <v>20</v>
      </c>
      <c r="F113" s="3" t="s">
        <v>21</v>
      </c>
      <c r="G113" s="3">
        <v>43910</v>
      </c>
      <c r="H113" s="3" t="s">
        <v>46</v>
      </c>
      <c r="I113" s="3">
        <v>91.24</v>
      </c>
      <c r="J113" s="64">
        <f>D113/I113</f>
        <v>101.5248794388426</v>
      </c>
      <c r="K113" s="3"/>
    </row>
    <row r="114" spans="2:11" x14ac:dyDescent="0.35">
      <c r="B114" s="3" t="s">
        <v>76</v>
      </c>
      <c r="C114" s="3" t="s">
        <v>58</v>
      </c>
      <c r="D114" s="42">
        <v>18679.91</v>
      </c>
      <c r="E114" s="3" t="s">
        <v>20</v>
      </c>
      <c r="F114" s="3" t="s">
        <v>21</v>
      </c>
      <c r="G114" s="3"/>
      <c r="H114" s="3" t="s">
        <v>46</v>
      </c>
      <c r="I114" s="3">
        <v>95.92</v>
      </c>
      <c r="J114" s="64">
        <f>D114/I114</f>
        <v>194.74468306922435</v>
      </c>
    </row>
    <row r="116" spans="2:11" x14ac:dyDescent="0.35">
      <c r="B116" s="1" t="s">
        <v>59</v>
      </c>
      <c r="C116" s="1" t="s">
        <v>60</v>
      </c>
      <c r="D116" s="43">
        <f>SUM(D112:D115)</f>
        <v>43106.1</v>
      </c>
    </row>
    <row r="117" spans="2:11" x14ac:dyDescent="0.35">
      <c r="B117" s="1"/>
      <c r="C117" s="1" t="s">
        <v>61</v>
      </c>
      <c r="D117" s="65">
        <f>D116*29500</f>
        <v>1271629950</v>
      </c>
    </row>
  </sheetData>
  <pageMargins left="0.7" right="0.7" top="0.75" bottom="0.75" header="0.3" footer="0.3"/>
  <pageSetup scale="58" orientation="landscape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A764-72E4-B045-BD12-D5903ED50F12}">
  <dimension ref="B2:J6"/>
  <sheetViews>
    <sheetView workbookViewId="0">
      <selection activeCell="E12" sqref="E12"/>
    </sheetView>
  </sheetViews>
  <sheetFormatPr baseColWidth="10" defaultRowHeight="14.5" x14ac:dyDescent="0.35"/>
  <cols>
    <col min="2" max="2" width="22.81640625" customWidth="1"/>
  </cols>
  <sheetData>
    <row r="2" spans="2:10" x14ac:dyDescent="0.35">
      <c r="B2" s="1" t="s">
        <v>10</v>
      </c>
    </row>
    <row r="3" spans="2:10" x14ac:dyDescent="0.35">
      <c r="B3" s="2" t="s">
        <v>1</v>
      </c>
      <c r="C3" s="2" t="s">
        <v>0</v>
      </c>
      <c r="D3" s="2" t="s">
        <v>3</v>
      </c>
      <c r="E3" s="2" t="s">
        <v>34</v>
      </c>
      <c r="F3" s="2" t="s">
        <v>33</v>
      </c>
      <c r="G3" s="2" t="s">
        <v>36</v>
      </c>
      <c r="H3" s="2" t="s">
        <v>37</v>
      </c>
      <c r="I3" s="2" t="s">
        <v>77</v>
      </c>
      <c r="J3" s="2" t="s">
        <v>78</v>
      </c>
    </row>
    <row r="4" spans="2:10" x14ac:dyDescent="0.35">
      <c r="B4" t="s">
        <v>109</v>
      </c>
      <c r="C4" s="49" t="s">
        <v>112</v>
      </c>
      <c r="G4" s="58">
        <v>44312</v>
      </c>
    </row>
    <row r="5" spans="2:10" x14ac:dyDescent="0.35">
      <c r="B5" t="s">
        <v>110</v>
      </c>
      <c r="C5" s="49" t="s">
        <v>112</v>
      </c>
    </row>
    <row r="6" spans="2:10" x14ac:dyDescent="0.35">
      <c r="B6" t="s">
        <v>111</v>
      </c>
      <c r="C6" s="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597B-0F91-4A19-81DB-3949A2B5EBF7}">
  <dimension ref="B3:M40"/>
  <sheetViews>
    <sheetView topLeftCell="A2" workbookViewId="0">
      <selection activeCell="M9" sqref="M9:M16"/>
    </sheetView>
  </sheetViews>
  <sheetFormatPr baseColWidth="10" defaultRowHeight="14.5" x14ac:dyDescent="0.35"/>
  <cols>
    <col min="3" max="3" width="84.6328125" customWidth="1"/>
    <col min="4" max="4" width="11.6328125" customWidth="1"/>
    <col min="5" max="5" width="13.81640625" customWidth="1"/>
    <col min="7" max="7" width="13.6328125" bestFit="1" customWidth="1"/>
    <col min="12" max="12" width="13.6328125" bestFit="1" customWidth="1"/>
    <col min="13" max="13" width="12.6328125" bestFit="1" customWidth="1"/>
  </cols>
  <sheetData>
    <row r="3" spans="2:13" x14ac:dyDescent="0.35">
      <c r="B3" s="1" t="s">
        <v>138</v>
      </c>
    </row>
    <row r="5" spans="2:13" x14ac:dyDescent="0.35">
      <c r="B5" s="18" t="s">
        <v>139</v>
      </c>
      <c r="C5" s="18" t="s">
        <v>1</v>
      </c>
      <c r="D5" s="18" t="s">
        <v>173</v>
      </c>
      <c r="E5" s="18" t="s">
        <v>140</v>
      </c>
      <c r="F5" s="18" t="s">
        <v>141</v>
      </c>
    </row>
    <row r="6" spans="2:13" x14ac:dyDescent="0.35">
      <c r="B6" t="s">
        <v>142</v>
      </c>
      <c r="C6" t="s">
        <v>176</v>
      </c>
      <c r="D6" s="18" t="s">
        <v>174</v>
      </c>
      <c r="E6" s="66">
        <v>506518575</v>
      </c>
      <c r="F6" t="s">
        <v>144</v>
      </c>
    </row>
    <row r="7" spans="2:13" x14ac:dyDescent="0.35">
      <c r="B7" t="s">
        <v>145</v>
      </c>
      <c r="C7" t="s">
        <v>177</v>
      </c>
      <c r="D7" s="18" t="s">
        <v>175</v>
      </c>
      <c r="E7" s="66">
        <v>478420256</v>
      </c>
      <c r="F7" t="s">
        <v>25</v>
      </c>
    </row>
    <row r="8" spans="2:13" x14ac:dyDescent="0.35">
      <c r="B8" t="s">
        <v>147</v>
      </c>
      <c r="C8" t="s">
        <v>148</v>
      </c>
      <c r="D8" s="18"/>
      <c r="E8" s="66">
        <v>9299317</v>
      </c>
      <c r="F8" t="s">
        <v>149</v>
      </c>
      <c r="M8" t="s">
        <v>339</v>
      </c>
    </row>
    <row r="9" spans="2:13" x14ac:dyDescent="0.35">
      <c r="B9" s="98" t="s">
        <v>147</v>
      </c>
      <c r="C9" s="98" t="s">
        <v>150</v>
      </c>
      <c r="D9" s="103"/>
      <c r="E9" s="99">
        <v>3692304</v>
      </c>
      <c r="F9" s="98" t="s">
        <v>144</v>
      </c>
      <c r="G9" s="99">
        <f>SUM(E6:E9)</f>
        <v>997930452</v>
      </c>
      <c r="H9">
        <v>2017</v>
      </c>
      <c r="K9">
        <v>2017</v>
      </c>
      <c r="L9" s="97">
        <v>997930452</v>
      </c>
      <c r="M9" s="101">
        <f>L9/1000000</f>
        <v>997.93045199999995</v>
      </c>
    </row>
    <row r="10" spans="2:13" x14ac:dyDescent="0.35">
      <c r="B10" t="s">
        <v>152</v>
      </c>
      <c r="C10" t="s">
        <v>179</v>
      </c>
      <c r="D10" s="18" t="s">
        <v>178</v>
      </c>
      <c r="E10" s="66">
        <v>503566454</v>
      </c>
      <c r="F10" t="s">
        <v>154</v>
      </c>
      <c r="K10">
        <v>2018</v>
      </c>
      <c r="L10" s="97">
        <v>1079390704</v>
      </c>
      <c r="M10" s="101">
        <f t="shared" ref="M10:M16" si="0">L10/1000000</f>
        <v>1079.3907039999999</v>
      </c>
    </row>
    <row r="11" spans="2:13" x14ac:dyDescent="0.35">
      <c r="B11" s="98" t="s">
        <v>157</v>
      </c>
      <c r="C11" s="98" t="s">
        <v>181</v>
      </c>
      <c r="D11" s="103" t="s">
        <v>180</v>
      </c>
      <c r="E11" s="99">
        <v>575824250</v>
      </c>
      <c r="F11" s="98" t="s">
        <v>159</v>
      </c>
      <c r="G11" s="99">
        <f>SUM(E10:E11)</f>
        <v>1079390704</v>
      </c>
      <c r="H11">
        <v>2018</v>
      </c>
      <c r="K11">
        <v>2019</v>
      </c>
      <c r="L11" s="97">
        <v>1064599152</v>
      </c>
      <c r="M11" s="101">
        <f t="shared" si="0"/>
        <v>1064.599152</v>
      </c>
    </row>
    <row r="12" spans="2:13" x14ac:dyDescent="0.35">
      <c r="B12" s="49" t="s">
        <v>160</v>
      </c>
      <c r="C12" t="s">
        <v>155</v>
      </c>
      <c r="D12" s="18" t="s">
        <v>182</v>
      </c>
      <c r="E12" s="97">
        <v>102990518</v>
      </c>
      <c r="F12" t="s">
        <v>156</v>
      </c>
      <c r="K12">
        <v>2020</v>
      </c>
      <c r="L12" s="97">
        <v>2659527545</v>
      </c>
      <c r="M12" s="101">
        <f t="shared" si="0"/>
        <v>2659.5275449999999</v>
      </c>
    </row>
    <row r="13" spans="2:13" x14ac:dyDescent="0.35">
      <c r="B13" t="s">
        <v>50</v>
      </c>
      <c r="C13" t="s">
        <v>161</v>
      </c>
      <c r="D13" s="18" t="s">
        <v>182</v>
      </c>
      <c r="E13" s="97">
        <v>144838715</v>
      </c>
      <c r="F13" t="s">
        <v>162</v>
      </c>
      <c r="K13">
        <v>2021</v>
      </c>
      <c r="L13" s="97">
        <v>732302700</v>
      </c>
      <c r="M13" s="101">
        <f t="shared" si="0"/>
        <v>732.30269999999996</v>
      </c>
    </row>
    <row r="14" spans="2:13" x14ac:dyDescent="0.35">
      <c r="B14" s="49" t="s">
        <v>166</v>
      </c>
      <c r="C14" t="s">
        <v>163</v>
      </c>
      <c r="D14" s="18" t="s">
        <v>182</v>
      </c>
      <c r="E14" s="97">
        <v>101329837</v>
      </c>
      <c r="F14" t="s">
        <v>164</v>
      </c>
      <c r="K14">
        <v>2022</v>
      </c>
      <c r="L14" s="97">
        <v>1351127741</v>
      </c>
      <c r="M14" s="101">
        <f t="shared" si="0"/>
        <v>1351.127741</v>
      </c>
    </row>
    <row r="15" spans="2:13" x14ac:dyDescent="0.35">
      <c r="B15" s="98" t="s">
        <v>165</v>
      </c>
      <c r="C15" s="98" t="s">
        <v>184</v>
      </c>
      <c r="D15" s="103" t="s">
        <v>183</v>
      </c>
      <c r="E15" s="100">
        <v>715440082</v>
      </c>
      <c r="F15" s="98" t="s">
        <v>154</v>
      </c>
      <c r="G15" s="100">
        <f>SUM(E12:E15)</f>
        <v>1064599152</v>
      </c>
      <c r="H15">
        <v>2019</v>
      </c>
      <c r="K15">
        <v>2023</v>
      </c>
      <c r="L15" s="97">
        <f>G33</f>
        <v>2792659188.4554</v>
      </c>
      <c r="M15" s="101">
        <f t="shared" si="0"/>
        <v>2792.6591884554</v>
      </c>
    </row>
    <row r="16" spans="2:13" x14ac:dyDescent="0.35">
      <c r="B16" s="49" t="s">
        <v>185</v>
      </c>
      <c r="C16" t="s">
        <v>167</v>
      </c>
      <c r="D16" s="18"/>
      <c r="E16" s="97">
        <v>234990195</v>
      </c>
      <c r="F16" t="s">
        <v>168</v>
      </c>
      <c r="K16">
        <v>2024</v>
      </c>
      <c r="L16" s="97">
        <f>G40</f>
        <v>5912126318.7990961</v>
      </c>
      <c r="M16" s="101">
        <f t="shared" si="0"/>
        <v>5912.1263187990962</v>
      </c>
    </row>
    <row r="17" spans="2:10" x14ac:dyDescent="0.35">
      <c r="B17" t="s">
        <v>6</v>
      </c>
      <c r="C17" t="s">
        <v>48</v>
      </c>
      <c r="D17" s="18"/>
      <c r="E17" s="97">
        <v>55700685</v>
      </c>
      <c r="F17" t="s">
        <v>169</v>
      </c>
    </row>
    <row r="18" spans="2:10" x14ac:dyDescent="0.35">
      <c r="B18" t="s">
        <v>13</v>
      </c>
      <c r="C18" t="s">
        <v>12</v>
      </c>
      <c r="D18" s="18"/>
      <c r="E18" s="97">
        <v>699993060</v>
      </c>
      <c r="F18" t="s">
        <v>170</v>
      </c>
    </row>
    <row r="19" spans="2:10" x14ac:dyDescent="0.35">
      <c r="B19" t="s">
        <v>57</v>
      </c>
      <c r="C19" t="s">
        <v>83</v>
      </c>
      <c r="D19" s="18" t="s">
        <v>186</v>
      </c>
      <c r="E19" s="97">
        <v>759269525</v>
      </c>
      <c r="F19" t="s">
        <v>171</v>
      </c>
    </row>
    <row r="20" spans="2:10" x14ac:dyDescent="0.35">
      <c r="B20" t="s">
        <v>54</v>
      </c>
      <c r="C20" t="s">
        <v>55</v>
      </c>
      <c r="D20" s="18" t="s">
        <v>187</v>
      </c>
      <c r="E20" s="97">
        <v>294652665</v>
      </c>
      <c r="F20" t="s">
        <v>149</v>
      </c>
    </row>
    <row r="21" spans="2:10" x14ac:dyDescent="0.35">
      <c r="B21" s="98" t="s">
        <v>16</v>
      </c>
      <c r="C21" s="98" t="s">
        <v>80</v>
      </c>
      <c r="D21" s="103" t="s">
        <v>182</v>
      </c>
      <c r="E21" s="100">
        <v>614921415</v>
      </c>
      <c r="F21" s="98" t="s">
        <v>172</v>
      </c>
      <c r="G21" s="100">
        <f>SUM(E16:E21)</f>
        <v>2659527545</v>
      </c>
      <c r="H21">
        <v>2020</v>
      </c>
    </row>
    <row r="22" spans="2:10" x14ac:dyDescent="0.35">
      <c r="B22" s="49" t="s">
        <v>66</v>
      </c>
      <c r="C22" t="s">
        <v>267</v>
      </c>
      <c r="D22" s="18" t="s">
        <v>269</v>
      </c>
      <c r="E22" s="97">
        <v>277410900</v>
      </c>
      <c r="F22" t="s">
        <v>156</v>
      </c>
    </row>
    <row r="23" spans="2:10" x14ac:dyDescent="0.35">
      <c r="B23" s="98" t="s">
        <v>50</v>
      </c>
      <c r="C23" s="98" t="s">
        <v>268</v>
      </c>
      <c r="D23" s="103" t="s">
        <v>182</v>
      </c>
      <c r="E23" s="100">
        <v>454891800</v>
      </c>
      <c r="F23" s="98" t="s">
        <v>154</v>
      </c>
      <c r="G23" s="100">
        <f>SUM(E22:E23)</f>
        <v>732302700</v>
      </c>
      <c r="H23">
        <v>2021</v>
      </c>
    </row>
    <row r="24" spans="2:10" x14ac:dyDescent="0.35">
      <c r="B24" t="s">
        <v>58</v>
      </c>
      <c r="C24" t="s">
        <v>270</v>
      </c>
      <c r="D24" s="18" t="s">
        <v>274</v>
      </c>
      <c r="E24" s="97">
        <v>655869946</v>
      </c>
      <c r="F24" t="s">
        <v>271</v>
      </c>
    </row>
    <row r="25" spans="2:10" x14ac:dyDescent="0.35">
      <c r="B25" t="s">
        <v>84</v>
      </c>
      <c r="C25" t="s">
        <v>272</v>
      </c>
      <c r="D25" s="18" t="s">
        <v>275</v>
      </c>
      <c r="E25" s="97">
        <v>615291836</v>
      </c>
      <c r="F25" t="s">
        <v>170</v>
      </c>
    </row>
    <row r="26" spans="2:10" x14ac:dyDescent="0.35">
      <c r="B26" s="98" t="s">
        <v>92</v>
      </c>
      <c r="C26" s="98" t="s">
        <v>273</v>
      </c>
      <c r="D26" s="103" t="s">
        <v>276</v>
      </c>
      <c r="E26" s="100">
        <v>79965959</v>
      </c>
      <c r="F26" s="98" t="s">
        <v>212</v>
      </c>
      <c r="G26" s="100">
        <f>SUM(E24:E26)</f>
        <v>1351127741</v>
      </c>
      <c r="H26">
        <v>2022</v>
      </c>
    </row>
    <row r="27" spans="2:10" x14ac:dyDescent="0.35">
      <c r="B27" t="s">
        <v>98</v>
      </c>
      <c r="C27" t="s">
        <v>223</v>
      </c>
      <c r="D27" s="18" t="s">
        <v>294</v>
      </c>
      <c r="E27" s="97">
        <f>I27*J$27</f>
        <v>702692036.90460002</v>
      </c>
      <c r="I27">
        <v>19306.71</v>
      </c>
      <c r="J27" s="102">
        <v>36396.26</v>
      </c>
    </row>
    <row r="28" spans="2:10" x14ac:dyDescent="0.35">
      <c r="B28" t="s">
        <v>251</v>
      </c>
      <c r="C28" t="s">
        <v>246</v>
      </c>
      <c r="D28" s="18"/>
      <c r="E28" s="97">
        <f t="shared" ref="E28:E33" si="1">I28*J$27</f>
        <v>66269582.282800004</v>
      </c>
      <c r="I28">
        <v>1820.78</v>
      </c>
    </row>
    <row r="29" spans="2:10" x14ac:dyDescent="0.35">
      <c r="B29" t="s">
        <v>73</v>
      </c>
      <c r="C29" t="s">
        <v>248</v>
      </c>
      <c r="D29" s="18"/>
      <c r="E29" s="97">
        <f t="shared" si="1"/>
        <v>643096072.85540009</v>
      </c>
      <c r="I29">
        <v>17669.29</v>
      </c>
    </row>
    <row r="30" spans="2:10" x14ac:dyDescent="0.35">
      <c r="B30" t="s">
        <v>251</v>
      </c>
      <c r="C30" t="s">
        <v>250</v>
      </c>
      <c r="D30" s="18"/>
      <c r="E30" s="97">
        <f t="shared" si="1"/>
        <v>56188546.188000001</v>
      </c>
      <c r="I30">
        <v>1543.8</v>
      </c>
    </row>
    <row r="31" spans="2:10" x14ac:dyDescent="0.35">
      <c r="B31" t="s">
        <v>252</v>
      </c>
      <c r="C31" t="s">
        <v>254</v>
      </c>
      <c r="D31" s="18" t="s">
        <v>295</v>
      </c>
      <c r="E31" s="97">
        <f t="shared" si="1"/>
        <v>232124791.3646</v>
      </c>
      <c r="I31">
        <v>6377.71</v>
      </c>
    </row>
    <row r="32" spans="2:10" x14ac:dyDescent="0.35">
      <c r="B32" t="s">
        <v>256</v>
      </c>
      <c r="C32" t="s">
        <v>257</v>
      </c>
      <c r="D32" s="18"/>
      <c r="E32" s="97">
        <f t="shared" si="1"/>
        <v>733549150.09520006</v>
      </c>
      <c r="I32">
        <v>20154.52</v>
      </c>
    </row>
    <row r="33" spans="2:10" x14ac:dyDescent="0.35">
      <c r="B33" s="98" t="s">
        <v>278</v>
      </c>
      <c r="C33" s="98" t="s">
        <v>277</v>
      </c>
      <c r="D33" s="103"/>
      <c r="E33" s="100">
        <f t="shared" si="1"/>
        <v>358739008.76480001</v>
      </c>
      <c r="F33" s="98"/>
      <c r="G33" s="100">
        <f>SUM(E27:E33)</f>
        <v>2792659188.4554</v>
      </c>
      <c r="H33">
        <v>2023</v>
      </c>
      <c r="I33">
        <v>9856.48</v>
      </c>
    </row>
    <row r="34" spans="2:10" x14ac:dyDescent="0.35">
      <c r="B34" t="s">
        <v>99</v>
      </c>
      <c r="C34" t="s">
        <v>249</v>
      </c>
      <c r="E34" s="97">
        <f>I34*J$34</f>
        <v>651088994.83290005</v>
      </c>
      <c r="I34">
        <v>16940.43</v>
      </c>
      <c r="J34">
        <v>38434.03</v>
      </c>
    </row>
    <row r="35" spans="2:10" x14ac:dyDescent="0.35">
      <c r="B35" t="s">
        <v>259</v>
      </c>
      <c r="C35" t="s">
        <v>260</v>
      </c>
      <c r="E35" s="97">
        <f t="shared" ref="E35:E40" si="2">I35*J$34</f>
        <v>774619426.31560004</v>
      </c>
      <c r="I35">
        <v>20154.52</v>
      </c>
    </row>
    <row r="36" spans="2:10" x14ac:dyDescent="0.35">
      <c r="B36" t="s">
        <v>280</v>
      </c>
      <c r="C36" t="s">
        <v>281</v>
      </c>
      <c r="E36" s="97">
        <f t="shared" si="2"/>
        <v>119250802.24219999</v>
      </c>
      <c r="I36">
        <v>3102.74</v>
      </c>
    </row>
    <row r="37" spans="2:10" x14ac:dyDescent="0.35">
      <c r="B37" t="s">
        <v>288</v>
      </c>
      <c r="C37" t="s">
        <v>287</v>
      </c>
      <c r="E37" s="97">
        <f t="shared" si="2"/>
        <v>41770872.484599993</v>
      </c>
      <c r="I37">
        <v>1086.82</v>
      </c>
    </row>
    <row r="38" spans="2:10" x14ac:dyDescent="0.35">
      <c r="B38" t="s">
        <v>280</v>
      </c>
      <c r="C38" t="s">
        <v>279</v>
      </c>
      <c r="E38" s="97">
        <f t="shared" si="2"/>
        <v>57265936.019400001</v>
      </c>
      <c r="I38">
        <v>1489.98</v>
      </c>
    </row>
    <row r="39" spans="2:10" x14ac:dyDescent="0.35">
      <c r="B39" t="s">
        <v>280</v>
      </c>
      <c r="C39" t="s">
        <v>282</v>
      </c>
      <c r="E39" s="97">
        <f t="shared" si="2"/>
        <v>68127008.557099998</v>
      </c>
      <c r="I39">
        <v>1772.57</v>
      </c>
    </row>
    <row r="40" spans="2:10" x14ac:dyDescent="0.35">
      <c r="B40" s="109" t="s">
        <v>310</v>
      </c>
      <c r="C40" s="110"/>
      <c r="E40" s="97">
        <f t="shared" si="2"/>
        <v>4200003278.3472962</v>
      </c>
      <c r="G40" s="97">
        <f>SUM(E34:E40)</f>
        <v>5912126318.7990961</v>
      </c>
      <c r="H40">
        <v>2024</v>
      </c>
      <c r="I40">
        <v>109278.24322214705</v>
      </c>
    </row>
  </sheetData>
  <mergeCells count="1">
    <mergeCell ref="B40:C4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D403-4C5D-4D15-A54F-2B9D0CCEB8F3}">
  <dimension ref="A2:Q86"/>
  <sheetViews>
    <sheetView tabSelected="1" topLeftCell="A24" zoomScale="64" workbookViewId="0">
      <selection activeCell="H36" sqref="H36"/>
    </sheetView>
  </sheetViews>
  <sheetFormatPr baseColWidth="10" defaultRowHeight="14.5" x14ac:dyDescent="0.35"/>
  <cols>
    <col min="2" max="2" width="13.6328125" customWidth="1"/>
    <col min="3" max="3" width="79.1796875" customWidth="1"/>
    <col min="4" max="5" width="11.453125" customWidth="1"/>
    <col min="6" max="6" width="32.6328125" customWidth="1"/>
    <col min="7" max="7" width="15.1796875" customWidth="1"/>
    <col min="8" max="8" width="10.6328125" customWidth="1"/>
    <col min="17" max="17" width="11.1796875" bestFit="1" customWidth="1"/>
  </cols>
  <sheetData>
    <row r="2" spans="1:11" ht="15.5" x14ac:dyDescent="0.35">
      <c r="B2" s="67" t="s">
        <v>188</v>
      </c>
      <c r="E2">
        <v>22954.32</v>
      </c>
      <c r="F2" s="101">
        <f>E5</f>
        <v>12888.69</v>
      </c>
    </row>
    <row r="4" spans="1:11" ht="31" x14ac:dyDescent="0.35">
      <c r="B4" s="68" t="s">
        <v>139</v>
      </c>
      <c r="C4" s="68" t="s">
        <v>1</v>
      </c>
      <c r="D4" s="68" t="s">
        <v>340</v>
      </c>
      <c r="E4" s="69" t="s">
        <v>189</v>
      </c>
      <c r="F4" s="68" t="s">
        <v>141</v>
      </c>
      <c r="G4" s="68" t="s">
        <v>241</v>
      </c>
      <c r="H4" s="68" t="s">
        <v>243</v>
      </c>
      <c r="I4" s="68" t="s">
        <v>262</v>
      </c>
      <c r="J4" s="2" t="s">
        <v>217</v>
      </c>
      <c r="K4" s="2" t="s">
        <v>220</v>
      </c>
    </row>
    <row r="5" spans="1:11" x14ac:dyDescent="0.35">
      <c r="A5">
        <v>1</v>
      </c>
      <c r="B5" s="3" t="s">
        <v>190</v>
      </c>
      <c r="C5" s="3" t="s">
        <v>191</v>
      </c>
      <c r="D5" s="71" t="s">
        <v>203</v>
      </c>
      <c r="E5" s="64">
        <v>12888.69</v>
      </c>
      <c r="F5" s="3" t="s">
        <v>192</v>
      </c>
      <c r="G5" s="3" t="s">
        <v>114</v>
      </c>
      <c r="H5" s="3">
        <v>1300</v>
      </c>
      <c r="I5" s="3" t="s">
        <v>263</v>
      </c>
      <c r="J5" s="3" t="s">
        <v>204</v>
      </c>
      <c r="K5" s="73">
        <f>SUMIF(D$5:D$29,"CANAL BELL",E$5:E$29)</f>
        <v>3260.12</v>
      </c>
    </row>
    <row r="6" spans="1:11" x14ac:dyDescent="0.35">
      <c r="A6">
        <v>2</v>
      </c>
      <c r="B6" s="70" t="s">
        <v>193</v>
      </c>
      <c r="C6" s="3" t="s">
        <v>194</v>
      </c>
      <c r="D6" s="3" t="s">
        <v>204</v>
      </c>
      <c r="E6" s="64">
        <v>2719.68</v>
      </c>
      <c r="F6" s="3" t="s">
        <v>195</v>
      </c>
      <c r="G6" s="3" t="s">
        <v>240</v>
      </c>
      <c r="H6" s="3">
        <v>2</v>
      </c>
      <c r="I6" s="3" t="s">
        <v>265</v>
      </c>
      <c r="J6" s="71" t="s">
        <v>203</v>
      </c>
      <c r="K6" s="73">
        <f>SUMIF(D$5:D$29,"INCOVEG",E$5:E$29)</f>
        <v>12888.69</v>
      </c>
    </row>
    <row r="7" spans="1:11" x14ac:dyDescent="0.35">
      <c r="A7">
        <v>3</v>
      </c>
      <c r="B7" s="3" t="s">
        <v>142</v>
      </c>
      <c r="C7" s="3" t="s">
        <v>143</v>
      </c>
      <c r="D7" s="3" t="s">
        <v>21</v>
      </c>
      <c r="E7" s="64">
        <v>22627.63</v>
      </c>
      <c r="F7" s="3" t="s">
        <v>144</v>
      </c>
      <c r="G7" s="3" t="s">
        <v>114</v>
      </c>
      <c r="H7" s="3">
        <v>1200</v>
      </c>
      <c r="I7" s="3" t="s">
        <v>263</v>
      </c>
      <c r="J7" s="3" t="s">
        <v>21</v>
      </c>
      <c r="K7" s="73">
        <f>SUMIF(D$5:D$29,"AGROTEK",E$5:E$29)</f>
        <v>215303.57</v>
      </c>
    </row>
    <row r="8" spans="1:11" x14ac:dyDescent="0.35">
      <c r="A8">
        <v>4</v>
      </c>
      <c r="B8" s="3" t="s">
        <v>145</v>
      </c>
      <c r="C8" s="3" t="s">
        <v>146</v>
      </c>
      <c r="D8" s="3" t="s">
        <v>21</v>
      </c>
      <c r="E8" s="64">
        <v>21664.47</v>
      </c>
      <c r="F8" s="3" t="s">
        <v>25</v>
      </c>
      <c r="G8" s="3" t="s">
        <v>114</v>
      </c>
      <c r="H8" s="3">
        <v>1200</v>
      </c>
      <c r="I8" s="3" t="s">
        <v>263</v>
      </c>
      <c r="J8" s="3" t="s">
        <v>205</v>
      </c>
      <c r="K8" s="73">
        <f>SUMIF(D$5:D$29,"GEPCO",E$5:E$29)</f>
        <v>13591.380000000001</v>
      </c>
    </row>
    <row r="9" spans="1:11" x14ac:dyDescent="0.35">
      <c r="A9">
        <v>5</v>
      </c>
      <c r="B9" s="3" t="s">
        <v>147</v>
      </c>
      <c r="C9" s="3" t="s">
        <v>148</v>
      </c>
      <c r="D9" s="3" t="s">
        <v>204</v>
      </c>
      <c r="E9" s="64">
        <v>387</v>
      </c>
      <c r="F9" s="3" t="s">
        <v>149</v>
      </c>
      <c r="G9" s="3" t="s">
        <v>242</v>
      </c>
      <c r="H9" s="3">
        <v>1</v>
      </c>
      <c r="I9" s="3" t="s">
        <v>264</v>
      </c>
      <c r="J9" s="3" t="s">
        <v>101</v>
      </c>
      <c r="K9" s="73">
        <f>SUMIF(D$5:D$29,"CANO LTDA",E$5:E$29)</f>
        <v>77195.23</v>
      </c>
    </row>
    <row r="10" spans="1:11" x14ac:dyDescent="0.35">
      <c r="A10">
        <v>6</v>
      </c>
      <c r="B10" s="3" t="s">
        <v>147</v>
      </c>
      <c r="C10" s="3" t="s">
        <v>150</v>
      </c>
      <c r="D10" s="3" t="s">
        <v>204</v>
      </c>
      <c r="E10" s="64">
        <v>153.44</v>
      </c>
      <c r="F10" s="3" t="s">
        <v>144</v>
      </c>
      <c r="G10" s="3" t="s">
        <v>242</v>
      </c>
      <c r="H10" s="3">
        <v>1</v>
      </c>
      <c r="I10" s="3" t="s">
        <v>264</v>
      </c>
    </row>
    <row r="11" spans="1:11" x14ac:dyDescent="0.35">
      <c r="A11">
        <v>7</v>
      </c>
      <c r="B11" s="3" t="s">
        <v>152</v>
      </c>
      <c r="C11" s="3" t="s">
        <v>153</v>
      </c>
      <c r="D11" s="3" t="s">
        <v>21</v>
      </c>
      <c r="E11" s="64">
        <v>22632.04</v>
      </c>
      <c r="F11" s="3" t="s">
        <v>154</v>
      </c>
      <c r="G11" s="3" t="s">
        <v>240</v>
      </c>
      <c r="H11" s="3">
        <v>18</v>
      </c>
      <c r="I11" s="3" t="s">
        <v>265</v>
      </c>
    </row>
    <row r="12" spans="1:11" x14ac:dyDescent="0.35">
      <c r="A12">
        <v>8</v>
      </c>
      <c r="B12" s="3" t="s">
        <v>157</v>
      </c>
      <c r="C12" s="3" t="s">
        <v>158</v>
      </c>
      <c r="D12" s="3" t="s">
        <v>21</v>
      </c>
      <c r="E12" s="64">
        <v>26278.37</v>
      </c>
      <c r="F12" s="3" t="s">
        <v>159</v>
      </c>
      <c r="G12" s="3" t="s">
        <v>114</v>
      </c>
      <c r="H12" s="3">
        <v>850</v>
      </c>
      <c r="I12" s="3" t="s">
        <v>263</v>
      </c>
    </row>
    <row r="13" spans="1:11" x14ac:dyDescent="0.35">
      <c r="A13">
        <v>9</v>
      </c>
      <c r="B13" s="70" t="s">
        <v>196</v>
      </c>
      <c r="C13" s="3" t="s">
        <v>197</v>
      </c>
      <c r="D13" s="3" t="s">
        <v>21</v>
      </c>
      <c r="E13" s="64">
        <v>5248.35</v>
      </c>
      <c r="F13" s="3" t="s">
        <v>198</v>
      </c>
      <c r="G13" s="3" t="s">
        <v>115</v>
      </c>
      <c r="H13" s="3">
        <v>13000</v>
      </c>
      <c r="I13" s="3" t="s">
        <v>266</v>
      </c>
    </row>
    <row r="14" spans="1:11" x14ac:dyDescent="0.35">
      <c r="A14">
        <v>10</v>
      </c>
      <c r="B14" s="70" t="s">
        <v>199</v>
      </c>
      <c r="C14" s="3" t="s">
        <v>155</v>
      </c>
      <c r="D14" s="3" t="s">
        <v>205</v>
      </c>
      <c r="E14" s="64">
        <v>4842.22</v>
      </c>
      <c r="F14" s="3" t="s">
        <v>156</v>
      </c>
      <c r="G14" s="3" t="s">
        <v>115</v>
      </c>
      <c r="H14" s="3">
        <v>9000</v>
      </c>
      <c r="I14" s="3" t="s">
        <v>266</v>
      </c>
    </row>
    <row r="15" spans="1:11" x14ac:dyDescent="0.35">
      <c r="A15">
        <v>11</v>
      </c>
      <c r="B15" s="70" t="s">
        <v>200</v>
      </c>
      <c r="C15" s="3" t="s">
        <v>161</v>
      </c>
      <c r="D15" s="3" t="s">
        <v>205</v>
      </c>
      <c r="E15" s="64">
        <v>3671.77</v>
      </c>
      <c r="F15" s="3" t="s">
        <v>162</v>
      </c>
      <c r="G15" s="3" t="s">
        <v>115</v>
      </c>
      <c r="H15" s="3">
        <v>7000</v>
      </c>
      <c r="I15" s="3" t="s">
        <v>266</v>
      </c>
    </row>
    <row r="16" spans="1:11" x14ac:dyDescent="0.35">
      <c r="A16">
        <v>12</v>
      </c>
      <c r="B16" s="70" t="s">
        <v>200</v>
      </c>
      <c r="C16" s="3" t="s">
        <v>163</v>
      </c>
      <c r="D16" s="3" t="s">
        <v>205</v>
      </c>
      <c r="E16" s="64">
        <v>5077.3900000000003</v>
      </c>
      <c r="F16" s="3" t="s">
        <v>164</v>
      </c>
      <c r="G16" s="3" t="s">
        <v>115</v>
      </c>
      <c r="H16" s="3">
        <v>9000</v>
      </c>
      <c r="I16" s="3" t="s">
        <v>266</v>
      </c>
    </row>
    <row r="17" spans="1:17" x14ac:dyDescent="0.35">
      <c r="A17">
        <v>13</v>
      </c>
      <c r="B17" s="70" t="s">
        <v>165</v>
      </c>
      <c r="C17" s="3" t="s">
        <v>201</v>
      </c>
      <c r="D17" s="3" t="s">
        <v>21</v>
      </c>
      <c r="E17" s="64">
        <v>25924.560000000001</v>
      </c>
      <c r="F17" s="3" t="s">
        <v>202</v>
      </c>
      <c r="G17" s="3" t="s">
        <v>240</v>
      </c>
      <c r="H17" s="3">
        <v>11</v>
      </c>
      <c r="I17" s="3" t="s">
        <v>265</v>
      </c>
    </row>
    <row r="18" spans="1:17" x14ac:dyDescent="0.35">
      <c r="A18">
        <v>14</v>
      </c>
      <c r="B18" s="3" t="s">
        <v>6</v>
      </c>
      <c r="C18" s="3" t="s">
        <v>48</v>
      </c>
      <c r="D18" s="3" t="s">
        <v>21</v>
      </c>
      <c r="E18" s="42">
        <v>1954.41</v>
      </c>
      <c r="F18" s="3" t="s">
        <v>169</v>
      </c>
      <c r="G18" s="3" t="s">
        <v>114</v>
      </c>
      <c r="H18" s="3">
        <v>100</v>
      </c>
      <c r="I18" s="3" t="s">
        <v>263</v>
      </c>
    </row>
    <row r="19" spans="1:17" x14ac:dyDescent="0.35">
      <c r="A19">
        <v>15</v>
      </c>
      <c r="B19" s="3" t="s">
        <v>5</v>
      </c>
      <c r="C19" s="3" t="s">
        <v>41</v>
      </c>
      <c r="D19" s="3" t="s">
        <v>21</v>
      </c>
      <c r="E19" s="42">
        <v>8245.27</v>
      </c>
      <c r="F19" s="3" t="s">
        <v>168</v>
      </c>
      <c r="G19" s="3" t="s">
        <v>240</v>
      </c>
      <c r="H19" s="3">
        <v>4</v>
      </c>
      <c r="I19" s="3" t="s">
        <v>265</v>
      </c>
    </row>
    <row r="20" spans="1:17" x14ac:dyDescent="0.35">
      <c r="A20">
        <v>16</v>
      </c>
      <c r="B20" s="3" t="s">
        <v>13</v>
      </c>
      <c r="C20" s="3" t="s">
        <v>12</v>
      </c>
      <c r="D20" s="3" t="s">
        <v>101</v>
      </c>
      <c r="E20" s="42">
        <v>24561.16</v>
      </c>
      <c r="F20" s="3" t="s">
        <v>214</v>
      </c>
      <c r="G20" s="3" t="s">
        <v>114</v>
      </c>
      <c r="H20" s="3">
        <v>850</v>
      </c>
      <c r="I20" s="3" t="s">
        <v>263</v>
      </c>
    </row>
    <row r="21" spans="1:17" x14ac:dyDescent="0.35">
      <c r="A21">
        <v>17</v>
      </c>
      <c r="B21" s="3" t="s">
        <v>57</v>
      </c>
      <c r="C21" s="3" t="s">
        <v>83</v>
      </c>
      <c r="D21" s="3" t="s">
        <v>21</v>
      </c>
      <c r="E21" s="42">
        <v>20886.650000000001</v>
      </c>
      <c r="F21" s="3" t="s">
        <v>215</v>
      </c>
      <c r="G21" s="3" t="s">
        <v>114</v>
      </c>
      <c r="H21" s="3">
        <v>650</v>
      </c>
      <c r="I21" s="3" t="s">
        <v>263</v>
      </c>
    </row>
    <row r="22" spans="1:17" x14ac:dyDescent="0.35">
      <c r="A22">
        <v>18</v>
      </c>
      <c r="B22" s="3" t="s">
        <v>54</v>
      </c>
      <c r="C22" s="3" t="s">
        <v>55</v>
      </c>
      <c r="D22" s="3" t="s">
        <v>21</v>
      </c>
      <c r="E22" s="42">
        <v>10338.69</v>
      </c>
      <c r="F22" s="3" t="s">
        <v>215</v>
      </c>
      <c r="G22" s="3" t="s">
        <v>114</v>
      </c>
      <c r="H22" s="3">
        <v>400</v>
      </c>
      <c r="I22" s="3" t="s">
        <v>263</v>
      </c>
    </row>
    <row r="23" spans="1:17" x14ac:dyDescent="0.35">
      <c r="A23">
        <v>19</v>
      </c>
      <c r="B23" s="70" t="s">
        <v>16</v>
      </c>
      <c r="C23" s="3" t="s">
        <v>206</v>
      </c>
      <c r="D23" s="3" t="s">
        <v>21</v>
      </c>
      <c r="E23" s="3">
        <v>21576.19</v>
      </c>
      <c r="F23" s="3" t="s">
        <v>207</v>
      </c>
      <c r="G23" s="3" t="s">
        <v>115</v>
      </c>
      <c r="H23" s="3">
        <v>40000</v>
      </c>
      <c r="I23" s="3" t="s">
        <v>266</v>
      </c>
    </row>
    <row r="24" spans="1:17" x14ac:dyDescent="0.35">
      <c r="A24">
        <v>20</v>
      </c>
      <c r="B24" s="70" t="s">
        <v>50</v>
      </c>
      <c r="C24" s="3" t="s">
        <v>70</v>
      </c>
      <c r="D24" s="3" t="s">
        <v>101</v>
      </c>
      <c r="E24" s="3">
        <v>15163.06</v>
      </c>
      <c r="F24" s="3" t="s">
        <v>216</v>
      </c>
      <c r="G24" s="3" t="s">
        <v>115</v>
      </c>
      <c r="H24" s="3">
        <v>25000</v>
      </c>
      <c r="I24" s="3" t="s">
        <v>266</v>
      </c>
    </row>
    <row r="25" spans="1:17" x14ac:dyDescent="0.35">
      <c r="A25">
        <v>21</v>
      </c>
      <c r="B25" s="70" t="s">
        <v>245</v>
      </c>
      <c r="C25" s="3" t="s">
        <v>208</v>
      </c>
      <c r="D25" s="3" t="s">
        <v>21</v>
      </c>
      <c r="E25" s="3">
        <v>9247.0300000000007</v>
      </c>
      <c r="F25" s="3" t="s">
        <v>156</v>
      </c>
      <c r="G25" s="3" t="s">
        <v>240</v>
      </c>
      <c r="H25" s="3">
        <v>4</v>
      </c>
      <c r="I25" s="3" t="s">
        <v>265</v>
      </c>
    </row>
    <row r="26" spans="1:17" x14ac:dyDescent="0.35">
      <c r="A26">
        <v>22</v>
      </c>
      <c r="B26" s="70" t="s">
        <v>58</v>
      </c>
      <c r="C26" s="3" t="s">
        <v>209</v>
      </c>
      <c r="D26" s="3" t="s">
        <v>21</v>
      </c>
      <c r="E26" s="3">
        <v>18679.91</v>
      </c>
      <c r="F26" s="3" t="s">
        <v>210</v>
      </c>
      <c r="G26" s="3" t="s">
        <v>240</v>
      </c>
      <c r="H26" s="3">
        <v>8</v>
      </c>
      <c r="I26" s="3" t="s">
        <v>265</v>
      </c>
      <c r="Q26">
        <f>E26*35110.98</f>
        <v>655869946.41180003</v>
      </c>
    </row>
    <row r="27" spans="1:17" x14ac:dyDescent="0.35">
      <c r="A27">
        <v>23</v>
      </c>
      <c r="B27" s="70" t="s">
        <v>84</v>
      </c>
      <c r="C27" s="3" t="s">
        <v>218</v>
      </c>
      <c r="D27" s="3" t="s">
        <v>101</v>
      </c>
      <c r="E27" s="3">
        <v>17524.2</v>
      </c>
      <c r="F27" s="3" t="s">
        <v>170</v>
      </c>
      <c r="G27" s="3" t="s">
        <v>114</v>
      </c>
      <c r="H27" s="3">
        <v>550</v>
      </c>
      <c r="I27" s="3" t="s">
        <v>263</v>
      </c>
      <c r="Q27">
        <f t="shared" ref="Q27:Q28" si="0">E27*35110.98</f>
        <v>615291835.71600008</v>
      </c>
    </row>
    <row r="28" spans="1:17" x14ac:dyDescent="0.35">
      <c r="A28">
        <v>24</v>
      </c>
      <c r="B28" s="70" t="s">
        <v>92</v>
      </c>
      <c r="C28" s="3" t="s">
        <v>231</v>
      </c>
      <c r="D28" s="3" t="s">
        <v>101</v>
      </c>
      <c r="E28" s="3">
        <v>2277.52</v>
      </c>
      <c r="F28" s="3" t="s">
        <v>239</v>
      </c>
      <c r="G28" s="3" t="s">
        <v>240</v>
      </c>
      <c r="H28" s="3">
        <v>1</v>
      </c>
      <c r="I28" s="3" t="s">
        <v>265</v>
      </c>
      <c r="Q28">
        <f t="shared" si="0"/>
        <v>79965959.16960001</v>
      </c>
    </row>
    <row r="29" spans="1:17" x14ac:dyDescent="0.35">
      <c r="A29">
        <v>25</v>
      </c>
      <c r="B29" s="3" t="s">
        <v>73</v>
      </c>
      <c r="C29" s="3" t="s">
        <v>211</v>
      </c>
      <c r="D29" s="3" t="s">
        <v>101</v>
      </c>
      <c r="E29" s="3">
        <v>17669.29</v>
      </c>
      <c r="F29" s="3" t="s">
        <v>212</v>
      </c>
      <c r="G29" s="3" t="s">
        <v>240</v>
      </c>
      <c r="H29" s="3">
        <v>22000</v>
      </c>
      <c r="I29" s="3" t="s">
        <v>266</v>
      </c>
      <c r="Q29">
        <f>SUM(Q26:Q28)</f>
        <v>1351127741.2974</v>
      </c>
    </row>
    <row r="30" spans="1:17" x14ac:dyDescent="0.35">
      <c r="C30" t="s">
        <v>219</v>
      </c>
      <c r="E30" s="72">
        <f>SUM(E5:E29)</f>
        <v>322238.99</v>
      </c>
    </row>
    <row r="31" spans="1:17" x14ac:dyDescent="0.35">
      <c r="E31" s="72">
        <v>34390.980000000003</v>
      </c>
      <c r="F31" s="48">
        <f>E30*E31</f>
        <v>11082114660.310202</v>
      </c>
    </row>
    <row r="33" spans="2:11" ht="15.5" x14ac:dyDescent="0.35">
      <c r="B33" s="67" t="s">
        <v>292</v>
      </c>
    </row>
    <row r="35" spans="2:11" ht="31" x14ac:dyDescent="0.35">
      <c r="B35" s="68" t="s">
        <v>139</v>
      </c>
      <c r="C35" s="68" t="s">
        <v>1</v>
      </c>
      <c r="D35" s="69" t="s">
        <v>221</v>
      </c>
      <c r="E35" s="69" t="s">
        <v>189</v>
      </c>
      <c r="F35" s="68" t="s">
        <v>141</v>
      </c>
      <c r="G35" s="68" t="s">
        <v>255</v>
      </c>
    </row>
    <row r="36" spans="2:11" ht="15.5" x14ac:dyDescent="0.35">
      <c r="B36" s="26" t="s">
        <v>103</v>
      </c>
      <c r="C36" s="21" t="s">
        <v>213</v>
      </c>
      <c r="D36" s="21" t="s">
        <v>244</v>
      </c>
      <c r="E36" s="21">
        <v>6412.62</v>
      </c>
      <c r="F36" s="21" t="s">
        <v>169</v>
      </c>
      <c r="G36" s="74" t="s">
        <v>244</v>
      </c>
      <c r="K36">
        <f>E25*30000</f>
        <v>277410900</v>
      </c>
    </row>
    <row r="37" spans="2:11" x14ac:dyDescent="0.35">
      <c r="B37" s="13" t="s">
        <v>98</v>
      </c>
      <c r="C37" s="3" t="s">
        <v>223</v>
      </c>
      <c r="D37" s="3" t="s">
        <v>101</v>
      </c>
      <c r="E37" s="42">
        <v>19306.71</v>
      </c>
      <c r="F37" s="3" t="s">
        <v>224</v>
      </c>
      <c r="G37" s="3" t="s">
        <v>71</v>
      </c>
    </row>
    <row r="38" spans="2:11" x14ac:dyDescent="0.35">
      <c r="B38" s="4" t="s">
        <v>251</v>
      </c>
      <c r="C38" s="3" t="s">
        <v>246</v>
      </c>
      <c r="D38" s="3" t="s">
        <v>247</v>
      </c>
      <c r="E38" s="42">
        <v>1820.78</v>
      </c>
      <c r="F38" s="3" t="s">
        <v>253</v>
      </c>
      <c r="G38" s="3" t="s">
        <v>71</v>
      </c>
      <c r="K38">
        <f>E24*30000</f>
        <v>454891800</v>
      </c>
    </row>
    <row r="39" spans="2:11" x14ac:dyDescent="0.35">
      <c r="B39" s="13" t="s">
        <v>73</v>
      </c>
      <c r="C39" s="3" t="s">
        <v>248</v>
      </c>
      <c r="D39" s="3" t="s">
        <v>101</v>
      </c>
      <c r="E39" s="42">
        <v>17669.29</v>
      </c>
      <c r="F39" s="3" t="s">
        <v>74</v>
      </c>
      <c r="G39" s="3" t="s">
        <v>71</v>
      </c>
      <c r="H39" s="96"/>
      <c r="I39" s="75" t="s">
        <v>222</v>
      </c>
    </row>
    <row r="40" spans="2:11" x14ac:dyDescent="0.35">
      <c r="B40" s="4" t="s">
        <v>251</v>
      </c>
      <c r="C40" s="3" t="s">
        <v>250</v>
      </c>
      <c r="D40" s="3" t="s">
        <v>247</v>
      </c>
      <c r="E40" s="42">
        <v>1543.8</v>
      </c>
      <c r="F40" s="3" t="s">
        <v>253</v>
      </c>
      <c r="G40" s="3" t="s">
        <v>71</v>
      </c>
    </row>
    <row r="41" spans="2:11" x14ac:dyDescent="0.35">
      <c r="B41" s="13" t="s">
        <v>252</v>
      </c>
      <c r="C41" s="3" t="s">
        <v>254</v>
      </c>
      <c r="D41" s="3" t="s">
        <v>247</v>
      </c>
      <c r="E41" s="42">
        <v>6377.71</v>
      </c>
      <c r="F41" s="3" t="s">
        <v>253</v>
      </c>
      <c r="G41" s="3" t="s">
        <v>71</v>
      </c>
    </row>
    <row r="42" spans="2:11" x14ac:dyDescent="0.35">
      <c r="B42" s="13" t="s">
        <v>256</v>
      </c>
      <c r="C42" s="3" t="s">
        <v>257</v>
      </c>
      <c r="D42" s="3" t="s">
        <v>101</v>
      </c>
      <c r="E42" s="42">
        <v>20154.52</v>
      </c>
      <c r="F42" s="3" t="s">
        <v>258</v>
      </c>
      <c r="G42" s="3" t="s">
        <v>71</v>
      </c>
    </row>
    <row r="43" spans="2:11" x14ac:dyDescent="0.35">
      <c r="B43" s="13" t="s">
        <v>278</v>
      </c>
      <c r="C43" s="3" t="s">
        <v>277</v>
      </c>
      <c r="D43" s="3" t="s">
        <v>101</v>
      </c>
      <c r="E43" s="42">
        <v>9856.48</v>
      </c>
      <c r="F43" s="3" t="s">
        <v>283</v>
      </c>
      <c r="G43" s="3" t="s">
        <v>71</v>
      </c>
    </row>
    <row r="44" spans="2:11" x14ac:dyDescent="0.35">
      <c r="B44" s="18"/>
      <c r="E44" s="102"/>
    </row>
    <row r="45" spans="2:11" x14ac:dyDescent="0.35">
      <c r="E45" s="43">
        <f>SUM(E37:E43)</f>
        <v>76729.289999999994</v>
      </c>
      <c r="K45">
        <f>SUM(K36:K41)</f>
        <v>732302700</v>
      </c>
    </row>
    <row r="46" spans="2:11" x14ac:dyDescent="0.35">
      <c r="K46">
        <f>E46*F46</f>
        <v>0</v>
      </c>
    </row>
    <row r="47" spans="2:11" ht="15.5" x14ac:dyDescent="0.35">
      <c r="B47" s="67" t="s">
        <v>293</v>
      </c>
    </row>
    <row r="49" spans="1:9" ht="31" x14ac:dyDescent="0.35">
      <c r="B49" s="68" t="s">
        <v>139</v>
      </c>
      <c r="C49" s="68" t="s">
        <v>1</v>
      </c>
      <c r="D49" s="69" t="s">
        <v>221</v>
      </c>
      <c r="E49" s="69" t="s">
        <v>189</v>
      </c>
      <c r="F49" s="68" t="s">
        <v>141</v>
      </c>
      <c r="G49" s="68" t="s">
        <v>255</v>
      </c>
    </row>
    <row r="50" spans="1:9" x14ac:dyDescent="0.35">
      <c r="A50">
        <v>1</v>
      </c>
      <c r="B50" s="13" t="s">
        <v>99</v>
      </c>
      <c r="C50" s="3" t="s">
        <v>249</v>
      </c>
      <c r="D50" s="3" t="s">
        <v>101</v>
      </c>
      <c r="E50" s="42">
        <v>16940.43</v>
      </c>
      <c r="F50" s="3" t="s">
        <v>338</v>
      </c>
      <c r="G50" s="3" t="s">
        <v>314</v>
      </c>
      <c r="I50" s="3">
        <f>(52.533-54.493)*-1</f>
        <v>1.9600000000000009</v>
      </c>
    </row>
    <row r="51" spans="1:9" x14ac:dyDescent="0.35">
      <c r="A51">
        <v>2</v>
      </c>
      <c r="B51" s="13" t="s">
        <v>259</v>
      </c>
      <c r="C51" s="3" t="s">
        <v>260</v>
      </c>
      <c r="D51" s="3" t="s">
        <v>101</v>
      </c>
      <c r="E51" s="42">
        <v>20154.52</v>
      </c>
      <c r="F51" s="3" t="s">
        <v>261</v>
      </c>
      <c r="G51" s="3" t="s">
        <v>71</v>
      </c>
    </row>
    <row r="52" spans="1:9" x14ac:dyDescent="0.35">
      <c r="A52">
        <v>3</v>
      </c>
      <c r="B52" s="13" t="s">
        <v>280</v>
      </c>
      <c r="C52" s="3" t="s">
        <v>281</v>
      </c>
      <c r="D52" s="3" t="s">
        <v>101</v>
      </c>
      <c r="E52" s="42">
        <v>3102.74</v>
      </c>
      <c r="F52" s="3" t="s">
        <v>284</v>
      </c>
      <c r="G52" s="3" t="s">
        <v>71</v>
      </c>
      <c r="I52">
        <v>0.53300000000000003</v>
      </c>
    </row>
    <row r="53" spans="1:9" x14ac:dyDescent="0.35">
      <c r="A53">
        <v>4</v>
      </c>
      <c r="B53" s="13" t="s">
        <v>288</v>
      </c>
      <c r="C53" s="3" t="s">
        <v>287</v>
      </c>
      <c r="D53" s="3" t="s">
        <v>247</v>
      </c>
      <c r="E53" s="42">
        <v>1086.82</v>
      </c>
      <c r="F53" s="3" t="s">
        <v>289</v>
      </c>
      <c r="G53" s="3" t="s">
        <v>71</v>
      </c>
      <c r="I53">
        <v>0.28000000000000003</v>
      </c>
    </row>
    <row r="54" spans="1:9" x14ac:dyDescent="0.35">
      <c r="A54">
        <v>5</v>
      </c>
      <c r="B54" s="13" t="s">
        <v>280</v>
      </c>
      <c r="C54" s="3" t="s">
        <v>279</v>
      </c>
      <c r="D54" s="3" t="s">
        <v>247</v>
      </c>
      <c r="E54" s="42">
        <v>1489.98</v>
      </c>
      <c r="F54" s="3" t="s">
        <v>285</v>
      </c>
      <c r="G54" s="3" t="s">
        <v>71</v>
      </c>
      <c r="I54">
        <v>0.49099999999999999</v>
      </c>
    </row>
    <row r="55" spans="1:9" x14ac:dyDescent="0.35">
      <c r="A55">
        <v>6</v>
      </c>
      <c r="B55" s="13" t="s">
        <v>280</v>
      </c>
      <c r="C55" s="3" t="s">
        <v>282</v>
      </c>
      <c r="D55" s="3" t="s">
        <v>247</v>
      </c>
      <c r="E55" s="42">
        <v>1772.57</v>
      </c>
      <c r="F55" s="3" t="s">
        <v>286</v>
      </c>
      <c r="G55" s="3" t="s">
        <v>71</v>
      </c>
      <c r="I55">
        <v>0.4</v>
      </c>
    </row>
    <row r="57" spans="1:9" x14ac:dyDescent="0.35">
      <c r="E57" s="43">
        <f>SUM(E50:E56)</f>
        <v>44547.06</v>
      </c>
    </row>
    <row r="59" spans="1:9" ht="15.5" x14ac:dyDescent="0.35">
      <c r="B59" s="67" t="s">
        <v>309</v>
      </c>
    </row>
    <row r="61" spans="1:9" x14ac:dyDescent="0.35">
      <c r="A61">
        <v>7</v>
      </c>
      <c r="B61" s="109" t="s">
        <v>310</v>
      </c>
      <c r="C61" s="110"/>
      <c r="D61" s="3" t="s">
        <v>311</v>
      </c>
      <c r="E61" s="104">
        <f>4200000000/38434</f>
        <v>109278.24322214705</v>
      </c>
      <c r="F61" s="3" t="s">
        <v>312</v>
      </c>
      <c r="G61" s="3" t="s">
        <v>71</v>
      </c>
      <c r="I61">
        <v>3.85</v>
      </c>
    </row>
    <row r="62" spans="1:9" x14ac:dyDescent="0.35">
      <c r="E62" s="43"/>
    </row>
    <row r="63" spans="1:9" x14ac:dyDescent="0.35">
      <c r="I63">
        <f>SUM(I50:I61)</f>
        <v>7.5140000000000011</v>
      </c>
    </row>
    <row r="64" spans="1:9" ht="15.5" x14ac:dyDescent="0.35">
      <c r="B64" s="67" t="s">
        <v>313</v>
      </c>
    </row>
    <row r="66" spans="2:7" ht="31" x14ac:dyDescent="0.35">
      <c r="B66" s="68" t="s">
        <v>139</v>
      </c>
      <c r="C66" s="68" t="s">
        <v>1</v>
      </c>
      <c r="D66" s="69" t="s">
        <v>221</v>
      </c>
      <c r="E66" s="69" t="s">
        <v>189</v>
      </c>
      <c r="F66" s="68" t="s">
        <v>141</v>
      </c>
      <c r="G66" s="68" t="s">
        <v>255</v>
      </c>
    </row>
    <row r="67" spans="2:7" x14ac:dyDescent="0.35">
      <c r="B67" s="3" t="s">
        <v>318</v>
      </c>
      <c r="C67" s="3" t="s">
        <v>317</v>
      </c>
      <c r="D67" s="3" t="s">
        <v>247</v>
      </c>
      <c r="E67" s="105">
        <v>1319.28</v>
      </c>
      <c r="F67" s="3" t="s">
        <v>316</v>
      </c>
      <c r="G67" s="13" t="s">
        <v>315</v>
      </c>
    </row>
    <row r="68" spans="2:7" x14ac:dyDescent="0.35">
      <c r="B68" s="3" t="s">
        <v>321</v>
      </c>
      <c r="C68" s="3" t="s">
        <v>319</v>
      </c>
      <c r="D68" s="3" t="s">
        <v>247</v>
      </c>
      <c r="E68" s="105">
        <v>2502.2199999999998</v>
      </c>
      <c r="F68" s="3" t="s">
        <v>320</v>
      </c>
      <c r="G68" s="13" t="s">
        <v>315</v>
      </c>
    </row>
    <row r="69" spans="2:7" x14ac:dyDescent="0.35">
      <c r="B69" s="3" t="s">
        <v>323</v>
      </c>
      <c r="C69" s="3" t="s">
        <v>322</v>
      </c>
      <c r="D69" s="3" t="s">
        <v>247</v>
      </c>
      <c r="E69" s="105">
        <v>2485.59</v>
      </c>
      <c r="F69" s="3" t="s">
        <v>324</v>
      </c>
      <c r="G69" s="13" t="s">
        <v>315</v>
      </c>
    </row>
    <row r="70" spans="2:7" x14ac:dyDescent="0.35">
      <c r="B70" s="3" t="s">
        <v>326</v>
      </c>
      <c r="C70" s="3" t="s">
        <v>325</v>
      </c>
      <c r="D70" s="3" t="s">
        <v>101</v>
      </c>
      <c r="E70" s="105">
        <v>16295.87</v>
      </c>
      <c r="F70" s="3" t="s">
        <v>327</v>
      </c>
      <c r="G70" s="13" t="s">
        <v>315</v>
      </c>
    </row>
    <row r="71" spans="2:7" x14ac:dyDescent="0.35">
      <c r="B71" s="3" t="s">
        <v>329</v>
      </c>
      <c r="C71" s="3" t="s">
        <v>328</v>
      </c>
      <c r="D71" s="3" t="s">
        <v>101</v>
      </c>
      <c r="E71" s="105">
        <v>10488.78</v>
      </c>
      <c r="F71" s="3" t="s">
        <v>330</v>
      </c>
      <c r="G71" s="13" t="s">
        <v>315</v>
      </c>
    </row>
    <row r="72" spans="2:7" x14ac:dyDescent="0.35">
      <c r="B72" s="13" t="s">
        <v>288</v>
      </c>
      <c r="C72" s="3" t="s">
        <v>290</v>
      </c>
      <c r="D72" s="3" t="s">
        <v>247</v>
      </c>
      <c r="E72" s="105">
        <v>1826.73</v>
      </c>
      <c r="F72" s="3" t="s">
        <v>291</v>
      </c>
      <c r="G72" s="13" t="s">
        <v>315</v>
      </c>
    </row>
    <row r="73" spans="2:7" x14ac:dyDescent="0.35">
      <c r="B73" s="3" t="s">
        <v>331</v>
      </c>
      <c r="C73" s="3" t="s">
        <v>332</v>
      </c>
      <c r="D73" s="3" t="s">
        <v>101</v>
      </c>
      <c r="E73" s="105">
        <v>3968.14</v>
      </c>
      <c r="F73" s="3" t="s">
        <v>333</v>
      </c>
      <c r="G73" s="13" t="s">
        <v>315</v>
      </c>
    </row>
    <row r="74" spans="2:7" x14ac:dyDescent="0.35">
      <c r="B74" s="3" t="s">
        <v>335</v>
      </c>
      <c r="C74" s="3" t="s">
        <v>334</v>
      </c>
      <c r="D74" s="3" t="s">
        <v>247</v>
      </c>
      <c r="E74" s="105" t="s">
        <v>336</v>
      </c>
      <c r="F74" s="3" t="s">
        <v>337</v>
      </c>
      <c r="G74" s="13" t="s">
        <v>315</v>
      </c>
    </row>
    <row r="75" spans="2:7" x14ac:dyDescent="0.35">
      <c r="E75" s="106"/>
      <c r="G75" s="18"/>
    </row>
    <row r="76" spans="2:7" x14ac:dyDescent="0.35">
      <c r="E76" s="107">
        <f>SUM(E67:E75)</f>
        <v>38886.61</v>
      </c>
      <c r="G76" s="18"/>
    </row>
    <row r="78" spans="2:7" x14ac:dyDescent="0.35">
      <c r="B78" s="1" t="s">
        <v>296</v>
      </c>
    </row>
    <row r="79" spans="2:7" x14ac:dyDescent="0.35">
      <c r="E79" s="108">
        <f>E30+E45+E57+E61+E76</f>
        <v>591680.19322214706</v>
      </c>
    </row>
    <row r="80" spans="2:7" ht="15.5" x14ac:dyDescent="0.35">
      <c r="B80" s="68" t="s">
        <v>139</v>
      </c>
      <c r="C80" s="68" t="s">
        <v>1</v>
      </c>
    </row>
    <row r="81" spans="2:3" x14ac:dyDescent="0.35">
      <c r="B81" s="4" t="s">
        <v>297</v>
      </c>
      <c r="C81" s="3" t="s">
        <v>298</v>
      </c>
    </row>
    <row r="82" spans="2:3" x14ac:dyDescent="0.35">
      <c r="B82" s="4" t="s">
        <v>299</v>
      </c>
      <c r="C82" s="3" t="s">
        <v>306</v>
      </c>
    </row>
    <row r="83" spans="2:3" x14ac:dyDescent="0.35">
      <c r="B83" s="4" t="s">
        <v>301</v>
      </c>
      <c r="C83" s="3" t="s">
        <v>302</v>
      </c>
    </row>
    <row r="84" spans="2:3" x14ac:dyDescent="0.35">
      <c r="B84" s="4" t="s">
        <v>303</v>
      </c>
      <c r="C84" s="3" t="s">
        <v>304</v>
      </c>
    </row>
    <row r="85" spans="2:3" x14ac:dyDescent="0.35">
      <c r="B85" s="4" t="s">
        <v>305</v>
      </c>
      <c r="C85" s="3" t="s">
        <v>300</v>
      </c>
    </row>
    <row r="86" spans="2:3" x14ac:dyDescent="0.35">
      <c r="B86" s="4" t="s">
        <v>307</v>
      </c>
      <c r="C86" s="3" t="s">
        <v>308</v>
      </c>
    </row>
  </sheetData>
  <mergeCells count="1">
    <mergeCell ref="B61:C6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A2A2-E167-0749-ABFC-C806D4F7184C}">
  <dimension ref="B3:M19"/>
  <sheetViews>
    <sheetView workbookViewId="0">
      <selection activeCell="H14" sqref="H14"/>
    </sheetView>
  </sheetViews>
  <sheetFormatPr baseColWidth="10" defaultRowHeight="14.5" x14ac:dyDescent="0.35"/>
  <cols>
    <col min="2" max="2" width="48" customWidth="1"/>
    <col min="3" max="3" width="15.453125" customWidth="1"/>
    <col min="4" max="4" width="13.453125" customWidth="1"/>
    <col min="5" max="5" width="11" customWidth="1"/>
    <col min="6" max="6" width="9.81640625" customWidth="1"/>
    <col min="8" max="8" width="15.36328125" customWidth="1"/>
    <col min="10" max="10" width="12.1796875" bestFit="1" customWidth="1"/>
    <col min="11" max="11" width="14.6328125" customWidth="1"/>
    <col min="13" max="13" width="12.1796875" bestFit="1" customWidth="1"/>
  </cols>
  <sheetData>
    <row r="3" spans="2:13" x14ac:dyDescent="0.35">
      <c r="B3" s="1" t="s">
        <v>236</v>
      </c>
      <c r="C3" s="1"/>
    </row>
    <row r="5" spans="2:13" x14ac:dyDescent="0.35">
      <c r="B5" s="2" t="s">
        <v>229</v>
      </c>
      <c r="C5" s="2" t="s">
        <v>234</v>
      </c>
      <c r="D5" s="2" t="s">
        <v>225</v>
      </c>
      <c r="E5" s="2" t="s">
        <v>230</v>
      </c>
      <c r="F5" s="2" t="s">
        <v>226</v>
      </c>
      <c r="G5" s="2" t="s">
        <v>227</v>
      </c>
      <c r="H5" s="2" t="s">
        <v>225</v>
      </c>
    </row>
    <row r="6" spans="2:13" ht="31" x14ac:dyDescent="0.35">
      <c r="B6" s="80" t="s">
        <v>235</v>
      </c>
      <c r="C6" s="92" t="s">
        <v>101</v>
      </c>
      <c r="D6" s="92">
        <v>17524.2</v>
      </c>
      <c r="E6" s="82">
        <v>0.76890000000000003</v>
      </c>
      <c r="F6" s="82">
        <f>1-E6</f>
        <v>0.23109999999999997</v>
      </c>
      <c r="G6" s="82">
        <v>0</v>
      </c>
      <c r="H6" s="83">
        <f>D6*G6</f>
        <v>0</v>
      </c>
    </row>
    <row r="7" spans="2:13" ht="62" x14ac:dyDescent="0.35">
      <c r="B7" s="80" t="s">
        <v>233</v>
      </c>
      <c r="C7" s="90" t="s">
        <v>21</v>
      </c>
      <c r="D7" s="81">
        <v>18679.91</v>
      </c>
      <c r="E7" s="82">
        <v>0.76900000000000002</v>
      </c>
      <c r="F7" s="82">
        <f>1-E7</f>
        <v>0.23099999999999998</v>
      </c>
      <c r="G7" s="82">
        <v>0</v>
      </c>
      <c r="H7" s="83">
        <f>D7*G7</f>
        <v>0</v>
      </c>
      <c r="I7">
        <f>D7*E7</f>
        <v>14364.85079</v>
      </c>
      <c r="M7">
        <v>20.100000000000001</v>
      </c>
    </row>
    <row r="8" spans="2:13" ht="46.5" x14ac:dyDescent="0.35">
      <c r="B8" s="84" t="s">
        <v>228</v>
      </c>
      <c r="C8" s="91" t="s">
        <v>21</v>
      </c>
      <c r="D8" s="85">
        <v>19306.71</v>
      </c>
      <c r="E8" s="86">
        <v>0.71899999999999997</v>
      </c>
      <c r="F8" s="86">
        <f>1-E8</f>
        <v>0.28100000000000003</v>
      </c>
      <c r="G8" s="86">
        <f>F8-0.183</f>
        <v>9.8000000000000032E-2</v>
      </c>
      <c r="H8" s="87">
        <f>D8*G8</f>
        <v>1892.0575800000006</v>
      </c>
      <c r="I8">
        <f t="shared" ref="I8:I9" si="0">D8*E8</f>
        <v>13881.524489999998</v>
      </c>
      <c r="J8" s="88">
        <f>G8-0.031</f>
        <v>6.7000000000000032E-2</v>
      </c>
      <c r="K8" s="89">
        <f>J8*D8</f>
        <v>1293.5495700000006</v>
      </c>
      <c r="M8" s="95">
        <f>K8*D$14</f>
        <v>41859264.085200019</v>
      </c>
    </row>
    <row r="9" spans="2:13" ht="62" x14ac:dyDescent="0.35">
      <c r="B9" s="84" t="s">
        <v>231</v>
      </c>
      <c r="C9" s="91" t="s">
        <v>21</v>
      </c>
      <c r="D9" s="85">
        <v>2277.52</v>
      </c>
      <c r="E9" s="86">
        <v>0.69899999999999995</v>
      </c>
      <c r="F9" s="86">
        <f>1-E9</f>
        <v>0.30100000000000005</v>
      </c>
      <c r="G9" s="86">
        <f>F9-0.183</f>
        <v>0.11800000000000005</v>
      </c>
      <c r="H9" s="87">
        <f>D9*G9</f>
        <v>268.74736000000013</v>
      </c>
      <c r="I9">
        <f t="shared" si="0"/>
        <v>1591.9864799999998</v>
      </c>
      <c r="J9" s="88">
        <f>G9-0.031</f>
        <v>8.700000000000005E-2</v>
      </c>
      <c r="K9" s="89">
        <f>J9*D9</f>
        <v>198.14424000000011</v>
      </c>
      <c r="M9" s="95">
        <f>K9*D$14</f>
        <v>6411947.6064000037</v>
      </c>
    </row>
    <row r="10" spans="2:13" x14ac:dyDescent="0.35">
      <c r="B10" s="1" t="s">
        <v>151</v>
      </c>
      <c r="C10" s="1"/>
      <c r="D10" s="43">
        <f>D8+D9</f>
        <v>21584.23</v>
      </c>
      <c r="E10" s="1"/>
      <c r="F10" s="1"/>
      <c r="G10" s="1"/>
      <c r="H10" s="43">
        <f>H8+H9</f>
        <v>2160.8049400000009</v>
      </c>
      <c r="I10">
        <f>SUM(I7:I9)</f>
        <v>29838.36176</v>
      </c>
      <c r="J10" s="1"/>
      <c r="K10" s="72">
        <f>SUM(K8:K9)</f>
        <v>1491.6938100000007</v>
      </c>
    </row>
    <row r="11" spans="2:13" x14ac:dyDescent="0.35">
      <c r="D11" s="77">
        <f>D10*D14</f>
        <v>698465682.79999995</v>
      </c>
      <c r="H11" s="77">
        <f>H10*D14</f>
        <v>69923647.858400032</v>
      </c>
      <c r="J11" s="1"/>
      <c r="K11" s="77">
        <f>D14*K10</f>
        <v>48271211.691600025</v>
      </c>
    </row>
    <row r="12" spans="2:13" x14ac:dyDescent="0.35">
      <c r="H12" s="76">
        <f>H11/D11</f>
        <v>0.10011035556978411</v>
      </c>
      <c r="K12" s="79">
        <f>K11/6</f>
        <v>8045201.9486000044</v>
      </c>
    </row>
    <row r="14" spans="2:13" x14ac:dyDescent="0.35">
      <c r="B14" s="1" t="s">
        <v>232</v>
      </c>
      <c r="C14" s="1"/>
      <c r="D14" s="1">
        <v>32360</v>
      </c>
    </row>
    <row r="15" spans="2:13" x14ac:dyDescent="0.35">
      <c r="G15" s="78"/>
      <c r="H15" s="79">
        <v>68000000</v>
      </c>
    </row>
    <row r="16" spans="2:13" x14ac:dyDescent="0.35">
      <c r="C16" s="1" t="s">
        <v>237</v>
      </c>
      <c r="D16" s="43">
        <f>D10</f>
        <v>21584.23</v>
      </c>
      <c r="G16" s="78"/>
      <c r="H16" s="79"/>
    </row>
    <row r="17" spans="3:10" x14ac:dyDescent="0.35">
      <c r="C17" s="1" t="s">
        <v>227</v>
      </c>
      <c r="D17" s="43">
        <f>H10</f>
        <v>2160.8049400000009</v>
      </c>
      <c r="G17" s="78"/>
      <c r="H17" s="79">
        <v>2160</v>
      </c>
      <c r="I17">
        <v>32000</v>
      </c>
      <c r="J17" s="79">
        <f>H17*I17</f>
        <v>69120000</v>
      </c>
    </row>
    <row r="18" spans="3:10" x14ac:dyDescent="0.35">
      <c r="C18" s="1"/>
      <c r="D18" s="93">
        <f>D17/D16</f>
        <v>0.10011035556978409</v>
      </c>
    </row>
    <row r="19" spans="3:10" ht="15.5" x14ac:dyDescent="0.35">
      <c r="C19" s="1" t="s">
        <v>238</v>
      </c>
      <c r="D19" s="94">
        <f>H11</f>
        <v>69923647.858400032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Dominguez</dc:creator>
  <cp:lastModifiedBy>Sofia Aguilera Guerrero</cp:lastModifiedBy>
  <cp:lastPrinted>2019-09-10T22:08:43Z</cp:lastPrinted>
  <dcterms:created xsi:type="dcterms:W3CDTF">2019-01-07T14:50:33Z</dcterms:created>
  <dcterms:modified xsi:type="dcterms:W3CDTF">2025-11-06T15:31:14Z</dcterms:modified>
</cp:coreProperties>
</file>